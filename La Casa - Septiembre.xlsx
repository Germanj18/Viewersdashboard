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ermana\Desktop\Dashboard Viewers- LaCasa\youtube-viewers-lacasa\"/>
    </mc:Choice>
  </mc:AlternateContent>
  <xr:revisionPtr revIDLastSave="0" documentId="13_ncr:1_{617206C2-8C03-4E98-894E-1247B8AE27A4}" xr6:coauthVersionLast="47" xr6:coauthVersionMax="47" xr10:uidLastSave="{00000000-0000-0000-0000-000000000000}"/>
  <bookViews>
    <workbookView xWindow="-120" yWindow="-120" windowWidth="20730" windowHeight="11040" activeTab="2" xr2:uid="{61ADD070-53A4-4EB9-8E64-2F05D2554203}"/>
  </bookViews>
  <sheets>
    <sheet name="Home" sheetId="5" r:id="rId1"/>
    <sheet name="Hoja1" sheetId="7" state="hidden" r:id="rId2"/>
    <sheet name="04" sheetId="2" r:id="rId3"/>
    <sheet name="03" sheetId="3" r:id="rId4"/>
    <sheet name="02" sheetId="4" r:id="rId5"/>
    <sheet name="CC" sheetId="6" r:id="rId6"/>
  </sheets>
  <definedNames>
    <definedName name="_xlnm._FilterDatabase" localSheetId="2" hidden="1">Hoja1!$D$10:$F$10</definedName>
    <definedName name="_xlnm._FilterDatabase" localSheetId="5" hidden="1">CC!$H$2:$L$47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5" l="1"/>
  <c r="R6" i="5"/>
  <c r="M6" i="5" s="1"/>
  <c r="M8" i="5" s="1"/>
  <c r="M9" i="5" s="1"/>
  <c r="Q5" i="5"/>
  <c r="Q6" i="5"/>
  <c r="Q7" i="5"/>
  <c r="Q8" i="5"/>
  <c r="Q9" i="5"/>
  <c r="Q10" i="5"/>
  <c r="Q4" i="5"/>
  <c r="M5" i="5"/>
  <c r="E13" i="5"/>
  <c r="D13" i="5"/>
  <c r="C13" i="5"/>
  <c r="E12" i="5"/>
  <c r="D12" i="5"/>
  <c r="C12" i="5"/>
  <c r="E19" i="5"/>
  <c r="D19" i="5"/>
  <c r="C19" i="5"/>
  <c r="D20" i="5"/>
  <c r="E20" i="5"/>
  <c r="C20" i="5"/>
  <c r="H34" i="3"/>
  <c r="G34" i="3"/>
  <c r="F34" i="3"/>
  <c r="H3" i="3"/>
  <c r="G3" i="3"/>
  <c r="F3" i="4"/>
  <c r="G3" i="4"/>
  <c r="B39" i="3"/>
  <c r="B43" i="3"/>
  <c r="B44" i="3"/>
  <c r="B45" i="3"/>
  <c r="B55" i="3"/>
  <c r="B56" i="3"/>
  <c r="B57" i="3"/>
  <c r="B12" i="3"/>
  <c r="B13" i="3"/>
  <c r="B14" i="3"/>
  <c r="B24" i="3"/>
  <c r="B25" i="3"/>
  <c r="B26" i="3"/>
  <c r="B38" i="3"/>
  <c r="B35" i="3"/>
  <c r="B36" i="3"/>
  <c r="B37" i="3"/>
  <c r="B40" i="3"/>
  <c r="B41" i="3"/>
  <c r="B42" i="3"/>
  <c r="B46" i="3"/>
  <c r="B47" i="3"/>
  <c r="B48" i="3"/>
  <c r="B49" i="3"/>
  <c r="B50" i="3"/>
  <c r="B51" i="3"/>
  <c r="B52" i="3"/>
  <c r="B53" i="3"/>
  <c r="B54" i="3"/>
  <c r="B58" i="3"/>
  <c r="B34" i="3"/>
  <c r="B4" i="3"/>
  <c r="B5" i="3"/>
  <c r="B6" i="3"/>
  <c r="B7" i="3"/>
  <c r="B8" i="3"/>
  <c r="B9" i="3"/>
  <c r="B10" i="3"/>
  <c r="B11" i="3"/>
  <c r="F3" i="3" s="1"/>
  <c r="B15" i="3"/>
  <c r="B16" i="3"/>
  <c r="B17" i="3"/>
  <c r="B18" i="3"/>
  <c r="B19" i="3"/>
  <c r="B20" i="3"/>
  <c r="B21" i="3"/>
  <c r="B22" i="3"/>
  <c r="B23" i="3"/>
  <c r="B27" i="3"/>
  <c r="B28" i="3"/>
  <c r="B29" i="3"/>
  <c r="B3" i="3"/>
  <c r="E21" i="5" l="1"/>
  <c r="E14" i="5"/>
  <c r="D6" i="5"/>
  <c r="C6" i="5"/>
  <c r="E5" i="5"/>
  <c r="D5" i="5"/>
  <c r="C5" i="5"/>
  <c r="D4" i="5"/>
  <c r="C4" i="5"/>
  <c r="H71" i="4"/>
  <c r="E6" i="5" s="1"/>
  <c r="G71" i="4"/>
  <c r="F71" i="4"/>
  <c r="H41" i="4"/>
  <c r="G41" i="4"/>
  <c r="F41" i="4"/>
  <c r="H3" i="4"/>
  <c r="E4" i="5" s="1"/>
  <c r="B3" i="4"/>
  <c r="B6" i="4"/>
  <c r="B4" i="4"/>
  <c r="B5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E7" i="5" l="1"/>
</calcChain>
</file>

<file path=xl/sharedStrings.xml><?xml version="1.0" encoding="utf-8"?>
<sst xmlns="http://schemas.openxmlformats.org/spreadsheetml/2006/main" count="455" uniqueCount="204">
  <si>
    <t>Hora</t>
  </si>
  <si>
    <t>Fecha</t>
  </si>
  <si>
    <t>Cant</t>
  </si>
  <si>
    <t>Total</t>
  </si>
  <si>
    <t>Chimi</t>
  </si>
  <si>
    <t>Real</t>
  </si>
  <si>
    <t>RUMIS</t>
  </si>
  <si>
    <t>CIRCUITO CERRADO</t>
  </si>
  <si>
    <t>MADRES 5G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</si>
  <si>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</si>
  <si>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</si>
  <si>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</si>
  <si>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</si>
  <si>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</si>
  <si>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</si>
  <si>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</si>
  <si>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</si>
  <si>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</si>
  <si>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</si>
  <si>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</si>
  <si>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</si>
  <si>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</si>
  <si>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</si>
  <si>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</si>
  <si>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</si>
  <si>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</si>
  <si>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</si>
  <si>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</si>
  <si>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</si>
  <si>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</si>
  <si>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</si>
  <si>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</si>
  <si>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</si>
  <si>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</si>
  <si>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</si>
  <si>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</si>
  <si>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</si>
  <si>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</si>
  <si>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</si>
  <si>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</si>
  <si>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</si>
  <si>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</si>
  <si>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</si>
  <si>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</si>
  <si>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</si>
  <si>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</si>
  <si>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</si>
  <si>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</si>
  <si>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</si>
  <si>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</si>
  <si>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</si>
  <si>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</si>
  <si>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</si>
  <si>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</si>
  <si>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</si>
  <si>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</si>
  <si>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</si>
  <si>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</si>
  <si>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</si>
  <si>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</si>
  <si>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</si>
  <si>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</si>
  <si>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</si>
  <si>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</si>
  <si>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</si>
  <si>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</si>
  <si>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</si>
  <si>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</si>
  <si>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</si>
  <si>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</si>
  <si>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</si>
  <si>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</si>
  <si>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</si>
  <si>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</si>
  <si>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</si>
  <si>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</si>
  <si>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</si>
  <si>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</si>
  <si>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</si>
  <si>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</si>
  <si>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</si>
  <si>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</si>
  <si>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</si>
  <si>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</si>
  <si>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</si>
  <si>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</si>
  <si>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</si>
  <si>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</si>
  <si>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</si>
  <si>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</si>
  <si>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</si>
  <si>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</si>
  <si>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</si>
  <si>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</si>
  <si>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</si>
  <si>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</si>
  <si>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</si>
  <si>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</si>
  <si>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Media Real</t>
  </si>
  <si>
    <t>Media Total</t>
  </si>
  <si>
    <t>Gastos</t>
  </si>
  <si>
    <t>10.00</t>
  </si>
  <si>
    <t>700.00$</t>
  </si>
  <si>
    <t>700.11$</t>
  </si>
  <si>
    <t>650.00$</t>
  </si>
  <si>
    <t>689.86$</t>
  </si>
  <si>
    <t>50.00$</t>
  </si>
  <si>
    <t>52.76$</t>
  </si>
  <si>
    <t>684.84$</t>
  </si>
  <si>
    <t>54.19$</t>
  </si>
  <si>
    <t>200.00$</t>
  </si>
  <si>
    <t>202.19$</t>
  </si>
  <si>
    <t>625.00$</t>
  </si>
  <si>
    <t>643.14$</t>
  </si>
  <si>
    <t>50.39$</t>
  </si>
  <si>
    <t>280.00$</t>
  </si>
  <si>
    <t>282.83$</t>
  </si>
  <si>
    <t>175.00$</t>
  </si>
  <si>
    <t>175.33$</t>
  </si>
  <si>
    <t>Operation</t>
  </si>
  <si>
    <t>Date of payment</t>
  </si>
  <si>
    <t>Amount</t>
  </si>
  <si>
    <t>Residue</t>
  </si>
  <si>
    <t>ID Order 9101597</t>
  </si>
  <si>
    <t>ID Order 9101595</t>
  </si>
  <si>
    <t>ID Order 9101554</t>
  </si>
  <si>
    <t>ID Order 9101552</t>
  </si>
  <si>
    <t>ID Order 9101523</t>
  </si>
  <si>
    <t>ID Order 9101521</t>
  </si>
  <si>
    <t>ID Order 9101479</t>
  </si>
  <si>
    <t>ID Order 9101459</t>
  </si>
  <si>
    <t>ID Order 9097548</t>
  </si>
  <si>
    <t>ID Order 9097131</t>
  </si>
  <si>
    <t>ID Order 9096635</t>
  </si>
  <si>
    <t>ID Order 9096534</t>
  </si>
  <si>
    <t>ID Order 9096429</t>
  </si>
  <si>
    <t>ID Order 9096400</t>
  </si>
  <si>
    <t>ID Order 9096391</t>
  </si>
  <si>
    <t>ID Order 9096334</t>
  </si>
  <si>
    <t>ID Order 9096255</t>
  </si>
  <si>
    <t>ID Order 9096227</t>
  </si>
  <si>
    <t>ID Order 9096223</t>
  </si>
  <si>
    <t>ID Order 9096194</t>
  </si>
  <si>
    <t>ID Order 9093594</t>
  </si>
  <si>
    <t>ID Order 9093532</t>
  </si>
  <si>
    <t>ID Order 9093523</t>
  </si>
  <si>
    <t>ID Order 9093510</t>
  </si>
  <si>
    <t>ID Order 9093503</t>
  </si>
  <si>
    <t>ID Order 9093485</t>
  </si>
  <si>
    <t>ID Order 9093469</t>
  </si>
  <si>
    <t>ID Order 9093440</t>
  </si>
  <si>
    <t>ID Order 9092361</t>
  </si>
  <si>
    <t>ID Order 9091972</t>
  </si>
  <si>
    <t>ID Order 9091308</t>
  </si>
  <si>
    <t>ID Order 9091237</t>
  </si>
  <si>
    <t>ID Order 9091194</t>
  </si>
  <si>
    <t>ID Order 9091172</t>
  </si>
  <si>
    <t>ID Order 9091155</t>
  </si>
  <si>
    <t>ID Order 9091083</t>
  </si>
  <si>
    <t>ID Order 9076633</t>
  </si>
  <si>
    <t>ID Order 9076563</t>
  </si>
  <si>
    <t>ID Order 9076369</t>
  </si>
  <si>
    <t>ID Order 9076334</t>
  </si>
  <si>
    <t>ID Order 9076310</t>
  </si>
  <si>
    <t>ID Order 9076296</t>
  </si>
  <si>
    <t>ID Order 9071557</t>
  </si>
  <si>
    <t>ID Order 9071331</t>
  </si>
  <si>
    <t>ID Order 9067628</t>
  </si>
  <si>
    <t>Programa</t>
  </si>
  <si>
    <t>Media real</t>
  </si>
  <si>
    <t>CIRCUITO</t>
  </si>
  <si>
    <t>MADRES</t>
  </si>
  <si>
    <t>Total del dia</t>
  </si>
  <si>
    <t>hora</t>
  </si>
  <si>
    <t>Etiquetas de fila</t>
  </si>
  <si>
    <t>Total general</t>
  </si>
  <si>
    <t>Suma de Cant</t>
  </si>
  <si>
    <t>11:25</t>
  </si>
  <si>
    <t>11:30</t>
  </si>
  <si>
    <t>Martes 3/9</t>
  </si>
  <si>
    <t>Lunes 2/9</t>
  </si>
  <si>
    <t>Miercoles 4/9</t>
  </si>
  <si>
    <t>Subs actual</t>
  </si>
  <si>
    <t>Objetivo</t>
  </si>
  <si>
    <t>Faltan</t>
  </si>
  <si>
    <t>Promedio organico / mes</t>
  </si>
  <si>
    <t>Meses faltantes</t>
  </si>
  <si>
    <t>Estimacion organica</t>
  </si>
  <si>
    <t>Faltante para objetivo</t>
  </si>
  <si>
    <t>Costo faltantes</t>
  </si>
  <si>
    <t>Costo por mes</t>
  </si>
  <si>
    <t>Calculo Suscriptores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</si>
  <si>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</si>
  <si>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</si>
  <si>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</si>
  <si>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</si>
  <si>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</si>
  <si>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</si>
  <si>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</si>
  <si>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</si>
  <si>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Subs</t>
  </si>
  <si>
    <t>Mes</t>
  </si>
  <si>
    <t>Crecimiento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</si>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</sst>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-F400]h:mm:ss\ AM/PM"/>
    <numFmt numFmtId="165" formatCode="&quot;$&quot;\ #,##0.00"/>
    <numFmt numFmtId="166" formatCode="_-* #,##0_-;\-* #,##0_-;_-* &quot;-&quot;??_-;_-@_-"/>
    <numFmt numFmtId="167" formatCode="_-&quot;$&quot;\ * #,##0_-;\-&quot;$&quot;\ * #,##0_-;_-&quot;$&quot;\ 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4F8FB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EBEFF2"/>
      </bottom>
      <diagonal/>
    </border>
    <border>
      <left/>
      <right/>
      <top style="medium">
        <color rgb="FFEBEFF2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20" fontId="0" fillId="0" borderId="0" xfId="0" applyNumberFormat="1"/>
    <xf numFmtId="14" fontId="0" fillId="0" borderId="0" xfId="0" applyNumberFormat="1"/>
    <xf numFmtId="21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0" fillId="0" borderId="0" xfId="42" applyNumberFormat="1" applyFont="1" applyBorder="1"/>
    <xf numFmtId="44" fontId="0" fillId="0" borderId="0" xfId="43" applyFont="1" applyBorder="1"/>
    <xf numFmtId="166" fontId="0" fillId="0" borderId="0" xfId="42" applyNumberFormat="1" applyFont="1"/>
    <xf numFmtId="44" fontId="0" fillId="0" borderId="0" xfId="43" applyFont="1"/>
    <xf numFmtId="44" fontId="16" fillId="0" borderId="0" xfId="0" applyNumberFormat="1" applyFont="1"/>
    <xf numFmtId="44" fontId="0" fillId="0" borderId="10" xfId="43" applyFont="1" applyBorder="1"/>
    <xf numFmtId="0" fontId="0" fillId="0" borderId="0" xfId="0" pivotButton="1"/>
    <xf numFmtId="0" fontId="0" fillId="0" borderId="0" xfId="0" applyAlignment="1">
      <alignment horizontal="left"/>
    </xf>
    <xf numFmtId="14" fontId="19" fillId="34" borderId="0" xfId="0" applyNumberFormat="1" applyFont="1" applyFill="1" applyAlignment="1">
      <alignment horizontal="left" vertical="center"/>
    </xf>
    <xf numFmtId="21" fontId="19" fillId="34" borderId="11" xfId="0" applyNumberFormat="1" applyFont="1" applyFill="1" applyBorder="1" applyAlignment="1">
      <alignment horizontal="left" vertical="center"/>
    </xf>
    <xf numFmtId="0" fontId="19" fillId="34" borderId="0" xfId="0" applyFont="1" applyFill="1" applyAlignment="1">
      <alignment vertical="center"/>
    </xf>
    <xf numFmtId="0" fontId="19" fillId="0" borderId="0" xfId="0" applyFont="1"/>
    <xf numFmtId="0" fontId="20" fillId="33" borderId="0" xfId="0" applyFont="1" applyFill="1" applyAlignment="1">
      <alignment horizontal="left" vertical="center" indent="1"/>
    </xf>
    <xf numFmtId="14" fontId="19" fillId="33" borderId="0" xfId="0" applyNumberFormat="1" applyFont="1" applyFill="1" applyAlignment="1">
      <alignment vertical="center"/>
    </xf>
    <xf numFmtId="21" fontId="19" fillId="33" borderId="11" xfId="0" applyNumberFormat="1" applyFont="1" applyFill="1" applyBorder="1" applyAlignment="1">
      <alignment vertical="center"/>
    </xf>
    <xf numFmtId="0" fontId="19" fillId="33" borderId="12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20" fillId="34" borderId="0" xfId="0" applyFont="1" applyFill="1" applyAlignment="1">
      <alignment vertical="center"/>
    </xf>
    <xf numFmtId="14" fontId="19" fillId="34" borderId="0" xfId="0" applyNumberFormat="1" applyFont="1" applyFill="1" applyAlignment="1">
      <alignment horizontal="left" vertical="center" indent="1"/>
    </xf>
    <xf numFmtId="164" fontId="19" fillId="34" borderId="11" xfId="0" applyNumberFormat="1" applyFont="1" applyFill="1" applyBorder="1" applyAlignment="1">
      <alignment horizontal="left" vertical="center" indent="1"/>
    </xf>
    <xf numFmtId="165" fontId="19" fillId="34" borderId="0" xfId="0" applyNumberFormat="1" applyFont="1" applyFill="1" applyAlignment="1">
      <alignment vertical="center"/>
    </xf>
    <xf numFmtId="14" fontId="19" fillId="34" borderId="0" xfId="0" applyNumberFormat="1" applyFont="1" applyFill="1" applyAlignment="1">
      <alignment vertical="center"/>
    </xf>
    <xf numFmtId="21" fontId="19" fillId="34" borderId="11" xfId="0" applyNumberFormat="1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20" fillId="33" borderId="12" xfId="0" applyFont="1" applyFill="1" applyBorder="1" applyAlignment="1">
      <alignment vertical="center"/>
    </xf>
    <xf numFmtId="14" fontId="19" fillId="33" borderId="0" xfId="0" applyNumberFormat="1" applyFont="1" applyFill="1" applyAlignment="1">
      <alignment horizontal="left" vertical="center" indent="1"/>
    </xf>
    <xf numFmtId="164" fontId="19" fillId="33" borderId="11" xfId="0" applyNumberFormat="1" applyFont="1" applyFill="1" applyBorder="1" applyAlignment="1">
      <alignment horizontal="left" vertical="center" indent="1"/>
    </xf>
    <xf numFmtId="165" fontId="19" fillId="33" borderId="12" xfId="0" applyNumberFormat="1" applyFont="1" applyFill="1" applyBorder="1" applyAlignment="1">
      <alignment vertical="center"/>
    </xf>
    <xf numFmtId="0" fontId="19" fillId="33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/>
    </xf>
    <xf numFmtId="165" fontId="19" fillId="34" borderId="12" xfId="0" applyNumberFormat="1" applyFont="1" applyFill="1" applyBorder="1" applyAlignment="1">
      <alignment vertical="center"/>
    </xf>
    <xf numFmtId="44" fontId="19" fillId="34" borderId="0" xfId="43" applyFont="1" applyFill="1" applyAlignment="1">
      <alignment vertical="center"/>
    </xf>
    <xf numFmtId="44" fontId="19" fillId="33" borderId="12" xfId="43" applyFont="1" applyFill="1" applyBorder="1" applyAlignment="1">
      <alignment vertical="center"/>
    </xf>
    <xf numFmtId="44" fontId="19" fillId="34" borderId="12" xfId="43" applyFont="1" applyFill="1" applyBorder="1" applyAlignment="1">
      <alignment vertical="center"/>
    </xf>
    <xf numFmtId="0" fontId="0" fillId="0" borderId="10" xfId="0" applyBorder="1"/>
    <xf numFmtId="166" fontId="0" fillId="0" borderId="10" xfId="42" applyNumberFormat="1" applyFont="1" applyBorder="1"/>
    <xf numFmtId="167" fontId="16" fillId="0" borderId="0" xfId="43" applyNumberFormat="1" applyFont="1"/>
    <xf numFmtId="16" fontId="18" fillId="0" borderId="0" xfId="44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4" builtinId="8"/>
    <cellStyle name="Incorrecto" xfId="7" builtinId="27" customBuiltin="1"/>
    <cellStyle name="Millares" xfId="42" builtinId="3"/>
    <cellStyle name="Moneda" xfId="43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RUMIS</a:t>
            </a:r>
            <a:r>
              <a:rPr lang="es-ES" baseline="0"/>
              <a:t> 03-09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'03'!$A$9:$A$29</c:f>
              <c:numCache>
                <c:formatCode>h:mm</c:formatCode>
                <c:ptCount val="21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0.51388888888888895</c:v>
                </c:pt>
                <c:pt idx="5">
                  <c:v>0.51736111111111105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0.54513888888888895</c:v>
                </c:pt>
                <c:pt idx="13">
                  <c:v>0.54861111111111105</c:v>
                </c:pt>
                <c:pt idx="14">
                  <c:v>0.55208333333333337</c:v>
                </c:pt>
                <c:pt idx="15">
                  <c:v>0.55555555555555558</c:v>
                </c:pt>
                <c:pt idx="16">
                  <c:v>0.55902777777777779</c:v>
                </c:pt>
                <c:pt idx="17">
                  <c:v>0.5625</c:v>
                </c:pt>
                <c:pt idx="18">
                  <c:v>0.56597222222222221</c:v>
                </c:pt>
                <c:pt idx="19">
                  <c:v>0.56944444444444442</c:v>
                </c:pt>
                <c:pt idx="20">
                  <c:v>0.60069444444444442</c:v>
                </c:pt>
              </c:numCache>
            </c:numRef>
          </c:cat>
          <c:val>
            <c:numRef>
              <c:f>'03'!$B$9:$B$29</c:f>
              <c:numCache>
                <c:formatCode>Estándar</c:formatCode>
                <c:ptCount val="21"/>
                <c:pt idx="0">
                  <c:v>3232</c:v>
                </c:pt>
                <c:pt idx="1">
                  <c:v>3782</c:v>
                </c:pt>
                <c:pt idx="2">
                  <c:v>4005</c:v>
                </c:pt>
                <c:pt idx="3">
                  <c:v>3411</c:v>
                </c:pt>
                <c:pt idx="4">
                  <c:v>2369</c:v>
                </c:pt>
                <c:pt idx="5">
                  <c:v>2541</c:v>
                </c:pt>
                <c:pt idx="6">
                  <c:v>3885</c:v>
                </c:pt>
                <c:pt idx="7">
                  <c:v>3396</c:v>
                </c:pt>
                <c:pt idx="8">
                  <c:v>3506</c:v>
                </c:pt>
                <c:pt idx="9">
                  <c:v>3550</c:v>
                </c:pt>
                <c:pt idx="10">
                  <c:v>3643</c:v>
                </c:pt>
                <c:pt idx="11">
                  <c:v>3614</c:v>
                </c:pt>
                <c:pt idx="12">
                  <c:v>4023</c:v>
                </c:pt>
                <c:pt idx="13">
                  <c:v>4156</c:v>
                </c:pt>
                <c:pt idx="14">
                  <c:v>4095</c:v>
                </c:pt>
                <c:pt idx="15">
                  <c:v>4205</c:v>
                </c:pt>
                <c:pt idx="16">
                  <c:v>4343</c:v>
                </c:pt>
                <c:pt idx="17">
                  <c:v>4321</c:v>
                </c:pt>
                <c:pt idx="18">
                  <c:v>4425</c:v>
                </c:pt>
                <c:pt idx="19">
                  <c:v>5530</c:v>
                </c:pt>
                <c:pt idx="20">
                  <c:v>2778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0-435C-9F33-089FC48534F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'03'!$A$9:$A$29</c:f>
              <c:numCache>
                <c:formatCode>h:mm</c:formatCode>
                <c:ptCount val="21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0.51388888888888895</c:v>
                </c:pt>
                <c:pt idx="5">
                  <c:v>0.51736111111111105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0.54513888888888895</c:v>
                </c:pt>
                <c:pt idx="13">
                  <c:v>0.54861111111111105</c:v>
                </c:pt>
                <c:pt idx="14">
                  <c:v>0.55208333333333337</c:v>
                </c:pt>
                <c:pt idx="15">
                  <c:v>0.55555555555555558</c:v>
                </c:pt>
                <c:pt idx="16">
                  <c:v>0.55902777777777779</c:v>
                </c:pt>
                <c:pt idx="17">
                  <c:v>0.5625</c:v>
                </c:pt>
                <c:pt idx="18">
                  <c:v>0.56597222222222221</c:v>
                </c:pt>
                <c:pt idx="19">
                  <c:v>0.56944444444444442</c:v>
                </c:pt>
                <c:pt idx="20">
                  <c:v>0.60069444444444442</c:v>
                </c:pt>
              </c:numCache>
            </c:numRef>
          </c:cat>
          <c:val>
            <c:numRef>
              <c:f>'03'!$C$9:$C$29</c:f>
              <c:numCache>
                <c:formatCode>Estándar</c:formatCode>
                <c:ptCount val="21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4000</c:v>
                </c:pt>
                <c:pt idx="4">
                  <c:v>10500</c:v>
                </c:pt>
                <c:pt idx="5">
                  <c:v>10500</c:v>
                </c:pt>
                <c:pt idx="6">
                  <c:v>10500</c:v>
                </c:pt>
                <c:pt idx="7">
                  <c:v>14500</c:v>
                </c:pt>
                <c:pt idx="8">
                  <c:v>14500</c:v>
                </c:pt>
                <c:pt idx="9">
                  <c:v>14000</c:v>
                </c:pt>
                <c:pt idx="10">
                  <c:v>14000</c:v>
                </c:pt>
                <c:pt idx="11">
                  <c:v>14000</c:v>
                </c:pt>
                <c:pt idx="12">
                  <c:v>14000</c:v>
                </c:pt>
                <c:pt idx="13">
                  <c:v>14000</c:v>
                </c:pt>
                <c:pt idx="14">
                  <c:v>14000</c:v>
                </c:pt>
                <c:pt idx="15">
                  <c:v>14000</c:v>
                </c:pt>
                <c:pt idx="16">
                  <c:v>14000</c:v>
                </c:pt>
                <c:pt idx="17">
                  <c:v>14000</c:v>
                </c:pt>
                <c:pt idx="18">
                  <c:v>14000</c:v>
                </c:pt>
                <c:pt idx="19">
                  <c:v>13000</c:v>
                </c:pt>
                <c:pt idx="20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20-435C-9F33-089FC4853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5775488"/>
        <c:axId val="385771744"/>
      </c:barChart>
      <c:catAx>
        <c:axId val="38577548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5771744"/>
        <c:crosses val="autoZero"/>
        <c:auto val="1"/>
        <c:lblAlgn val="ctr"/>
        <c:lblOffset val="100"/>
        <c:noMultiLvlLbl val="0"/>
      </c:catAx>
      <c:valAx>
        <c:axId val="3857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Estándar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5775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CIRCUITO</a:t>
            </a:r>
            <a:r>
              <a:rPr lang="es-ES" baseline="0"/>
              <a:t> 03-09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'03'!$B$33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'03'!$A$34:$A$58</c:f>
              <c:numCache>
                <c:formatCode>h:mm</c:formatCode>
                <c:ptCount val="25"/>
                <c:pt idx="0">
                  <c:v>0.60416666666666663</c:v>
                </c:pt>
                <c:pt idx="1">
                  <c:v>0.60763888888888895</c:v>
                </c:pt>
                <c:pt idx="2">
                  <c:v>0.61111111111111105</c:v>
                </c:pt>
                <c:pt idx="3">
                  <c:v>0.61458333333333337</c:v>
                </c:pt>
                <c:pt idx="4">
                  <c:v>0.61805555555555558</c:v>
                </c:pt>
                <c:pt idx="5">
                  <c:v>0.62152777777777779</c:v>
                </c:pt>
                <c:pt idx="6">
                  <c:v>0.625</c:v>
                </c:pt>
                <c:pt idx="7">
                  <c:v>0.62847222222222221</c:v>
                </c:pt>
                <c:pt idx="8">
                  <c:v>0.63194444444444442</c:v>
                </c:pt>
                <c:pt idx="9">
                  <c:v>0.63541666666666663</c:v>
                </c:pt>
                <c:pt idx="10">
                  <c:v>0.63888888888888895</c:v>
                </c:pt>
                <c:pt idx="11">
                  <c:v>0.64236111111111105</c:v>
                </c:pt>
                <c:pt idx="12">
                  <c:v>0.64583333333333337</c:v>
                </c:pt>
                <c:pt idx="13">
                  <c:v>0.64930555555555558</c:v>
                </c:pt>
                <c:pt idx="14">
                  <c:v>0.65277777777777779</c:v>
                </c:pt>
                <c:pt idx="15">
                  <c:v>0.65625</c:v>
                </c:pt>
                <c:pt idx="16">
                  <c:v>0.65972222222222221</c:v>
                </c:pt>
                <c:pt idx="17">
                  <c:v>0.66319444444444442</c:v>
                </c:pt>
                <c:pt idx="18">
                  <c:v>0.66666666666666663</c:v>
                </c:pt>
                <c:pt idx="19">
                  <c:v>0.67013888888888884</c:v>
                </c:pt>
                <c:pt idx="20">
                  <c:v>0.67361111111111116</c:v>
                </c:pt>
                <c:pt idx="21">
                  <c:v>0.67708333333333337</c:v>
                </c:pt>
                <c:pt idx="22">
                  <c:v>0.68055555555555547</c:v>
                </c:pt>
                <c:pt idx="23">
                  <c:v>0.68402777777777779</c:v>
                </c:pt>
                <c:pt idx="24">
                  <c:v>0.6875</c:v>
                </c:pt>
              </c:numCache>
            </c:numRef>
          </c:cat>
          <c:val>
            <c:numRef>
              <c:f>'03'!$B$34:$B$58</c:f>
              <c:numCache>
                <c:formatCode>Estándar</c:formatCode>
                <c:ptCount val="25"/>
                <c:pt idx="0">
                  <c:v>2417</c:v>
                </c:pt>
                <c:pt idx="1">
                  <c:v>2320</c:v>
                </c:pt>
                <c:pt idx="2">
                  <c:v>2327</c:v>
                </c:pt>
                <c:pt idx="3">
                  <c:v>2370</c:v>
                </c:pt>
                <c:pt idx="4">
                  <c:v>6215</c:v>
                </c:pt>
                <c:pt idx="5">
                  <c:v>6107</c:v>
                </c:pt>
                <c:pt idx="6">
                  <c:v>4961</c:v>
                </c:pt>
                <c:pt idx="7">
                  <c:v>4630</c:v>
                </c:pt>
                <c:pt idx="8">
                  <c:v>4623</c:v>
                </c:pt>
                <c:pt idx="9">
                  <c:v>4579</c:v>
                </c:pt>
                <c:pt idx="10">
                  <c:v>2790</c:v>
                </c:pt>
                <c:pt idx="11">
                  <c:v>2776</c:v>
                </c:pt>
                <c:pt idx="12">
                  <c:v>2742</c:v>
                </c:pt>
                <c:pt idx="13">
                  <c:v>1682</c:v>
                </c:pt>
                <c:pt idx="14">
                  <c:v>1556</c:v>
                </c:pt>
                <c:pt idx="15">
                  <c:v>2700</c:v>
                </c:pt>
                <c:pt idx="16">
                  <c:v>2651</c:v>
                </c:pt>
                <c:pt idx="17">
                  <c:v>2600</c:v>
                </c:pt>
                <c:pt idx="18">
                  <c:v>2553</c:v>
                </c:pt>
                <c:pt idx="19">
                  <c:v>2470</c:v>
                </c:pt>
                <c:pt idx="20">
                  <c:v>2445</c:v>
                </c:pt>
                <c:pt idx="21">
                  <c:v>2424</c:v>
                </c:pt>
                <c:pt idx="22">
                  <c:v>2346</c:v>
                </c:pt>
                <c:pt idx="23">
                  <c:v>2298</c:v>
                </c:pt>
                <c:pt idx="24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D-47CC-9EE9-49F511A5E9C3}"/>
            </c:ext>
          </c:extLst>
        </c:ser>
        <c:ser>
          <c:idx val="1"/>
          <c:order val="1"/>
          <c:tx>
            <c:strRef>
              <c:f>'03'!$C$33</c:f>
              <c:strCache>
                <c:ptCount val="1"/>
                <c:pt idx="0">
                  <c:v>Chimi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'03'!$A$34:$A$58</c:f>
              <c:numCache>
                <c:formatCode>h:mm</c:formatCode>
                <c:ptCount val="25"/>
                <c:pt idx="0">
                  <c:v>0.60416666666666663</c:v>
                </c:pt>
                <c:pt idx="1">
                  <c:v>0.60763888888888895</c:v>
                </c:pt>
                <c:pt idx="2">
                  <c:v>0.61111111111111105</c:v>
                </c:pt>
                <c:pt idx="3">
                  <c:v>0.61458333333333337</c:v>
                </c:pt>
                <c:pt idx="4">
                  <c:v>0.61805555555555558</c:v>
                </c:pt>
                <c:pt idx="5">
                  <c:v>0.62152777777777779</c:v>
                </c:pt>
                <c:pt idx="6">
                  <c:v>0.625</c:v>
                </c:pt>
                <c:pt idx="7">
                  <c:v>0.62847222222222221</c:v>
                </c:pt>
                <c:pt idx="8">
                  <c:v>0.63194444444444442</c:v>
                </c:pt>
                <c:pt idx="9">
                  <c:v>0.63541666666666663</c:v>
                </c:pt>
                <c:pt idx="10">
                  <c:v>0.63888888888888895</c:v>
                </c:pt>
                <c:pt idx="11">
                  <c:v>0.64236111111111105</c:v>
                </c:pt>
                <c:pt idx="12">
                  <c:v>0.64583333333333337</c:v>
                </c:pt>
                <c:pt idx="13">
                  <c:v>0.64930555555555558</c:v>
                </c:pt>
                <c:pt idx="14">
                  <c:v>0.65277777777777779</c:v>
                </c:pt>
                <c:pt idx="15">
                  <c:v>0.65625</c:v>
                </c:pt>
                <c:pt idx="16">
                  <c:v>0.65972222222222221</c:v>
                </c:pt>
                <c:pt idx="17">
                  <c:v>0.66319444444444442</c:v>
                </c:pt>
                <c:pt idx="18">
                  <c:v>0.66666666666666663</c:v>
                </c:pt>
                <c:pt idx="19">
                  <c:v>0.67013888888888884</c:v>
                </c:pt>
                <c:pt idx="20">
                  <c:v>0.67361111111111116</c:v>
                </c:pt>
                <c:pt idx="21">
                  <c:v>0.67708333333333337</c:v>
                </c:pt>
                <c:pt idx="22">
                  <c:v>0.68055555555555547</c:v>
                </c:pt>
                <c:pt idx="23">
                  <c:v>0.68402777777777779</c:v>
                </c:pt>
                <c:pt idx="24">
                  <c:v>0.6875</c:v>
                </c:pt>
              </c:numCache>
            </c:numRef>
          </c:cat>
          <c:val>
            <c:numRef>
              <c:f>'03'!$C$34:$C$58</c:f>
              <c:numCache>
                <c:formatCode>Estándar</c:formatCode>
                <c:ptCount val="25"/>
                <c:pt idx="0">
                  <c:v>11600</c:v>
                </c:pt>
                <c:pt idx="1">
                  <c:v>11600</c:v>
                </c:pt>
                <c:pt idx="2">
                  <c:v>11600</c:v>
                </c:pt>
                <c:pt idx="3">
                  <c:v>11600</c:v>
                </c:pt>
                <c:pt idx="4">
                  <c:v>6600</c:v>
                </c:pt>
                <c:pt idx="5">
                  <c:v>6600</c:v>
                </c:pt>
                <c:pt idx="6">
                  <c:v>5100</c:v>
                </c:pt>
                <c:pt idx="7">
                  <c:v>5100</c:v>
                </c:pt>
                <c:pt idx="8">
                  <c:v>5100</c:v>
                </c:pt>
                <c:pt idx="9">
                  <c:v>5100</c:v>
                </c:pt>
                <c:pt idx="10">
                  <c:v>5100</c:v>
                </c:pt>
                <c:pt idx="11">
                  <c:v>5100</c:v>
                </c:pt>
                <c:pt idx="12">
                  <c:v>5100</c:v>
                </c:pt>
                <c:pt idx="13">
                  <c:v>6100</c:v>
                </c:pt>
                <c:pt idx="14">
                  <c:v>6100</c:v>
                </c:pt>
                <c:pt idx="15">
                  <c:v>6100</c:v>
                </c:pt>
                <c:pt idx="16">
                  <c:v>6100</c:v>
                </c:pt>
                <c:pt idx="17">
                  <c:v>6100</c:v>
                </c:pt>
                <c:pt idx="18">
                  <c:v>6100</c:v>
                </c:pt>
                <c:pt idx="19">
                  <c:v>6100</c:v>
                </c:pt>
                <c:pt idx="20">
                  <c:v>6100</c:v>
                </c:pt>
                <c:pt idx="21">
                  <c:v>6100</c:v>
                </c:pt>
                <c:pt idx="22">
                  <c:v>6100</c:v>
                </c:pt>
                <c:pt idx="23">
                  <c:v>6100</c:v>
                </c:pt>
                <c:pt idx="24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D-47CC-9EE9-49F511A5E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8877088"/>
        <c:axId val="718881664"/>
      </c:barChart>
      <c:catAx>
        <c:axId val="71887708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8881664"/>
        <c:crosses val="autoZero"/>
        <c:auto val="1"/>
        <c:lblAlgn val="ctr"/>
        <c:lblOffset val="100"/>
        <c:noMultiLvlLbl val="0"/>
      </c:catAx>
      <c:valAx>
        <c:axId val="7188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Estándar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88770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RUMIS 02/09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'02'!$B$2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'02'!$A$10:$A$37</c:f>
              <c:strCache>
                <c:ptCount val="28"/>
                <c:pt idx="0">
                  <c:v>12:10</c:v>
                </c:pt>
                <c:pt idx="1">
                  <c:v>12:15</c:v>
                </c:pt>
                <c:pt idx="2">
                  <c:v>12:20</c:v>
                </c:pt>
                <c:pt idx="3">
                  <c:v>12:25</c:v>
                </c:pt>
                <c:pt idx="4">
                  <c:v>12:30</c:v>
                </c:pt>
                <c:pt idx="5">
                  <c:v>12:35</c:v>
                </c:pt>
                <c:pt idx="6">
                  <c:v>12:40</c:v>
                </c:pt>
                <c:pt idx="7">
                  <c:v>12:45</c:v>
                </c:pt>
                <c:pt idx="8">
                  <c:v>12:50</c:v>
                </c:pt>
                <c:pt idx="9">
                  <c:v>12:55</c:v>
                </c:pt>
                <c:pt idx="10">
                  <c:v>13:00</c:v>
                </c:pt>
                <c:pt idx="11">
                  <c:v>13:05</c:v>
                </c:pt>
                <c:pt idx="12">
                  <c:v>13:10</c:v>
                </c:pt>
                <c:pt idx="13">
                  <c:v>13:15</c:v>
                </c:pt>
                <c:pt idx="14">
                  <c:v>13:20</c:v>
                </c:pt>
                <c:pt idx="15">
                  <c:v>13:25</c:v>
                </c:pt>
                <c:pt idx="16">
                  <c:v>13:30</c:v>
                </c:pt>
                <c:pt idx="17">
                  <c:v>13:35</c:v>
                </c:pt>
                <c:pt idx="18">
                  <c:v>13:40</c:v>
                </c:pt>
                <c:pt idx="19">
                  <c:v>13:45</c:v>
                </c:pt>
                <c:pt idx="20">
                  <c:v>13:50</c:v>
                </c:pt>
                <c:pt idx="21">
                  <c:v>13:55</c:v>
                </c:pt>
                <c:pt idx="22">
                  <c:v>14:00</c:v>
                </c:pt>
                <c:pt idx="23">
                  <c:v>14:05</c:v>
                </c:pt>
                <c:pt idx="24">
                  <c:v>14:10</c:v>
                </c:pt>
                <c:pt idx="25">
                  <c:v>14:15</c:v>
                </c:pt>
                <c:pt idx="26">
                  <c:v>14:20</c:v>
                </c:pt>
                <c:pt idx="27">
                  <c:v>14:25</c:v>
                </c:pt>
              </c:strCache>
            </c:strRef>
          </c:cat>
          <c:val>
            <c:numRef>
              <c:f>'02'!$B$10:$B$37</c:f>
              <c:numCache>
                <c:formatCode>Estándar</c:formatCode>
                <c:ptCount val="28"/>
                <c:pt idx="0">
                  <c:v>2262</c:v>
                </c:pt>
                <c:pt idx="1">
                  <c:v>2815</c:v>
                </c:pt>
                <c:pt idx="2">
                  <c:v>2949</c:v>
                </c:pt>
                <c:pt idx="3">
                  <c:v>2946</c:v>
                </c:pt>
                <c:pt idx="4">
                  <c:v>3174</c:v>
                </c:pt>
                <c:pt idx="5">
                  <c:v>3223</c:v>
                </c:pt>
                <c:pt idx="6">
                  <c:v>3217</c:v>
                </c:pt>
                <c:pt idx="7">
                  <c:v>3320</c:v>
                </c:pt>
                <c:pt idx="8">
                  <c:v>3349</c:v>
                </c:pt>
                <c:pt idx="9">
                  <c:v>3421</c:v>
                </c:pt>
                <c:pt idx="10">
                  <c:v>3448</c:v>
                </c:pt>
                <c:pt idx="11">
                  <c:v>3610</c:v>
                </c:pt>
                <c:pt idx="12">
                  <c:v>3825</c:v>
                </c:pt>
                <c:pt idx="13">
                  <c:v>3849</c:v>
                </c:pt>
                <c:pt idx="14">
                  <c:v>3667</c:v>
                </c:pt>
                <c:pt idx="15">
                  <c:v>3705</c:v>
                </c:pt>
                <c:pt idx="16">
                  <c:v>3700</c:v>
                </c:pt>
                <c:pt idx="17">
                  <c:v>3801</c:v>
                </c:pt>
                <c:pt idx="18">
                  <c:v>3771</c:v>
                </c:pt>
                <c:pt idx="19">
                  <c:v>3695</c:v>
                </c:pt>
                <c:pt idx="20">
                  <c:v>3755</c:v>
                </c:pt>
                <c:pt idx="21">
                  <c:v>3737</c:v>
                </c:pt>
                <c:pt idx="22">
                  <c:v>3737</c:v>
                </c:pt>
                <c:pt idx="23">
                  <c:v>3719</c:v>
                </c:pt>
                <c:pt idx="24">
                  <c:v>3693</c:v>
                </c:pt>
                <c:pt idx="25">
                  <c:v>3689</c:v>
                </c:pt>
                <c:pt idx="26">
                  <c:v>3686</c:v>
                </c:pt>
                <c:pt idx="27">
                  <c:v>3819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4-4FDF-B971-EDE4ACAE4ECC}"/>
            </c:ext>
          </c:extLst>
        </c:ser>
        <c:ser>
          <c:idx val="1"/>
          <c:order val="1"/>
          <c:tx>
            <c:strRef>
              <c:f>'02'!$C$2</c:f>
              <c:strCache>
                <c:ptCount val="1"/>
                <c:pt idx="0">
                  <c:v>Chimi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'02'!$A$10:$A$37</c:f>
              <c:strCache>
                <c:ptCount val="28"/>
                <c:pt idx="0">
                  <c:v>12:10</c:v>
                </c:pt>
                <c:pt idx="1">
                  <c:v>12:15</c:v>
                </c:pt>
                <c:pt idx="2">
                  <c:v>12:20</c:v>
                </c:pt>
                <c:pt idx="3">
                  <c:v>12:25</c:v>
                </c:pt>
                <c:pt idx="4">
                  <c:v>12:30</c:v>
                </c:pt>
                <c:pt idx="5">
                  <c:v>12:35</c:v>
                </c:pt>
                <c:pt idx="6">
                  <c:v>12:40</c:v>
                </c:pt>
                <c:pt idx="7">
                  <c:v>12:45</c:v>
                </c:pt>
                <c:pt idx="8">
                  <c:v>12:50</c:v>
                </c:pt>
                <c:pt idx="9">
                  <c:v>12:55</c:v>
                </c:pt>
                <c:pt idx="10">
                  <c:v>13:00</c:v>
                </c:pt>
                <c:pt idx="11">
                  <c:v>13:05</c:v>
                </c:pt>
                <c:pt idx="12">
                  <c:v>13:10</c:v>
                </c:pt>
                <c:pt idx="13">
                  <c:v>13:15</c:v>
                </c:pt>
                <c:pt idx="14">
                  <c:v>13:20</c:v>
                </c:pt>
                <c:pt idx="15">
                  <c:v>13:25</c:v>
                </c:pt>
                <c:pt idx="16">
                  <c:v>13:30</c:v>
                </c:pt>
                <c:pt idx="17">
                  <c:v>13:35</c:v>
                </c:pt>
                <c:pt idx="18">
                  <c:v>13:40</c:v>
                </c:pt>
                <c:pt idx="19">
                  <c:v>13:45</c:v>
                </c:pt>
                <c:pt idx="20">
                  <c:v>13:50</c:v>
                </c:pt>
                <c:pt idx="21">
                  <c:v>13:55</c:v>
                </c:pt>
                <c:pt idx="22">
                  <c:v>14:00</c:v>
                </c:pt>
                <c:pt idx="23">
                  <c:v>14:05</c:v>
                </c:pt>
                <c:pt idx="24">
                  <c:v>14:10</c:v>
                </c:pt>
                <c:pt idx="25">
                  <c:v>14:15</c:v>
                </c:pt>
                <c:pt idx="26">
                  <c:v>14:20</c:v>
                </c:pt>
                <c:pt idx="27">
                  <c:v>14:25</c:v>
                </c:pt>
              </c:strCache>
            </c:strRef>
          </c:cat>
          <c:val>
            <c:numRef>
              <c:f>'02'!$C$10:$C$37</c:f>
              <c:numCache>
                <c:formatCode>Estándar</c:formatCode>
                <c:ptCount val="28"/>
                <c:pt idx="0">
                  <c:v>7500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4-4FDF-B971-EDE4ACAE4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1159312"/>
        <c:axId val="1151157872"/>
      </c:barChart>
      <c:catAx>
        <c:axId val="1151159312"/>
        <c:scaling>
          <c:orientation val="minMax"/>
        </c:scaling>
        <c:delete val="0"/>
        <c:axPos val="b"/>
        <c:numFmt formatCode="Estándar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1157872"/>
        <c:crosses val="autoZero"/>
        <c:auto val="1"/>
        <c:lblAlgn val="ctr"/>
        <c:lblOffset val="100"/>
        <c:noMultiLvlLbl val="0"/>
      </c:catAx>
      <c:valAx>
        <c:axId val="11511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Estándar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11593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CIRCUITO</a:t>
            </a:r>
            <a:r>
              <a:rPr lang="es-AR" baseline="0"/>
              <a:t> 02/09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'02'!$B$40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'02'!$A$41:$A$67</c:f>
              <c:strCache>
                <c:ptCount val="27"/>
                <c:pt idx="0">
                  <c:v>14:30</c:v>
                </c:pt>
                <c:pt idx="1">
                  <c:v>14:35</c:v>
                </c:pt>
                <c:pt idx="2">
                  <c:v>14:40</c:v>
                </c:pt>
                <c:pt idx="3">
                  <c:v>14:45</c:v>
                </c:pt>
                <c:pt idx="4">
                  <c:v>14:50</c:v>
                </c:pt>
                <c:pt idx="5">
                  <c:v>14:55</c:v>
                </c:pt>
                <c:pt idx="6">
                  <c:v>15:00</c:v>
                </c:pt>
                <c:pt idx="7">
                  <c:v>15:05</c:v>
                </c:pt>
                <c:pt idx="8">
                  <c:v>15:10</c:v>
                </c:pt>
                <c:pt idx="9">
                  <c:v>15:15</c:v>
                </c:pt>
                <c:pt idx="10">
                  <c:v>15:20</c:v>
                </c:pt>
                <c:pt idx="11">
                  <c:v>15:25</c:v>
                </c:pt>
                <c:pt idx="12">
                  <c:v>15:30</c:v>
                </c:pt>
                <c:pt idx="13">
                  <c:v>15:35</c:v>
                </c:pt>
                <c:pt idx="14">
                  <c:v>15:40</c:v>
                </c:pt>
                <c:pt idx="15">
                  <c:v>15:45</c:v>
                </c:pt>
                <c:pt idx="16">
                  <c:v>15:50</c:v>
                </c:pt>
                <c:pt idx="17">
                  <c:v>15:55</c:v>
                </c:pt>
                <c:pt idx="18">
                  <c:v>16:00</c:v>
                </c:pt>
                <c:pt idx="19">
                  <c:v>16:05</c:v>
                </c:pt>
                <c:pt idx="20">
                  <c:v>16:10</c:v>
                </c:pt>
                <c:pt idx="21">
                  <c:v>16:15</c:v>
                </c:pt>
                <c:pt idx="22">
                  <c:v>16:20</c:v>
                </c:pt>
                <c:pt idx="23">
                  <c:v>16:25</c:v>
                </c:pt>
                <c:pt idx="24">
                  <c:v>16:30</c:v>
                </c:pt>
                <c:pt idx="25">
                  <c:v>16:35</c:v>
                </c:pt>
                <c:pt idx="26">
                  <c:v>16:40</c:v>
                </c:pt>
              </c:strCache>
            </c:strRef>
          </c:cat>
          <c:val>
            <c:numRef>
              <c:f>'02'!$B$41:$B$67</c:f>
              <c:numCache>
                <c:formatCode>Estándar</c:formatCode>
                <c:ptCount val="27"/>
                <c:pt idx="0">
                  <c:v>4299</c:v>
                </c:pt>
                <c:pt idx="1">
                  <c:v>6134</c:v>
                </c:pt>
                <c:pt idx="2">
                  <c:v>6141</c:v>
                </c:pt>
                <c:pt idx="3">
                  <c:v>6122</c:v>
                </c:pt>
                <c:pt idx="4">
                  <c:v>5818</c:v>
                </c:pt>
                <c:pt idx="5">
                  <c:v>5571</c:v>
                </c:pt>
                <c:pt idx="6">
                  <c:v>5627</c:v>
                </c:pt>
                <c:pt idx="7">
                  <c:v>5604</c:v>
                </c:pt>
                <c:pt idx="8">
                  <c:v>5544</c:v>
                </c:pt>
                <c:pt idx="9">
                  <c:v>5516</c:v>
                </c:pt>
                <c:pt idx="10">
                  <c:v>2762</c:v>
                </c:pt>
                <c:pt idx="11">
                  <c:v>2714</c:v>
                </c:pt>
                <c:pt idx="12">
                  <c:v>2616</c:v>
                </c:pt>
                <c:pt idx="13">
                  <c:v>2610</c:v>
                </c:pt>
                <c:pt idx="14">
                  <c:v>2635</c:v>
                </c:pt>
                <c:pt idx="15">
                  <c:v>2601</c:v>
                </c:pt>
                <c:pt idx="16">
                  <c:v>2557</c:v>
                </c:pt>
                <c:pt idx="17">
                  <c:v>2579</c:v>
                </c:pt>
                <c:pt idx="18">
                  <c:v>2566</c:v>
                </c:pt>
                <c:pt idx="19">
                  <c:v>7610</c:v>
                </c:pt>
                <c:pt idx="20">
                  <c:v>7479</c:v>
                </c:pt>
                <c:pt idx="21">
                  <c:v>7533</c:v>
                </c:pt>
                <c:pt idx="22">
                  <c:v>7517</c:v>
                </c:pt>
                <c:pt idx="23">
                  <c:v>7476</c:v>
                </c:pt>
                <c:pt idx="24">
                  <c:v>7385</c:v>
                </c:pt>
                <c:pt idx="25">
                  <c:v>5183</c:v>
                </c:pt>
                <c:pt idx="26">
                  <c:v>4730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D-48A3-84CD-99C1F8619C63}"/>
            </c:ext>
          </c:extLst>
        </c:ser>
        <c:ser>
          <c:idx val="1"/>
          <c:order val="1"/>
          <c:tx>
            <c:strRef>
              <c:f>'02'!$C$40</c:f>
              <c:strCache>
                <c:ptCount val="1"/>
                <c:pt idx="0">
                  <c:v>Chimi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'02'!$A$41:$A$67</c:f>
              <c:strCache>
                <c:ptCount val="27"/>
                <c:pt idx="0">
                  <c:v>14:30</c:v>
                </c:pt>
                <c:pt idx="1">
                  <c:v>14:35</c:v>
                </c:pt>
                <c:pt idx="2">
                  <c:v>14:40</c:v>
                </c:pt>
                <c:pt idx="3">
                  <c:v>14:45</c:v>
                </c:pt>
                <c:pt idx="4">
                  <c:v>14:50</c:v>
                </c:pt>
                <c:pt idx="5">
                  <c:v>14:55</c:v>
                </c:pt>
                <c:pt idx="6">
                  <c:v>15:00</c:v>
                </c:pt>
                <c:pt idx="7">
                  <c:v>15:05</c:v>
                </c:pt>
                <c:pt idx="8">
                  <c:v>15:10</c:v>
                </c:pt>
                <c:pt idx="9">
                  <c:v>15:15</c:v>
                </c:pt>
                <c:pt idx="10">
                  <c:v>15:20</c:v>
                </c:pt>
                <c:pt idx="11">
                  <c:v>15:25</c:v>
                </c:pt>
                <c:pt idx="12">
                  <c:v>15:30</c:v>
                </c:pt>
                <c:pt idx="13">
                  <c:v>15:35</c:v>
                </c:pt>
                <c:pt idx="14">
                  <c:v>15:40</c:v>
                </c:pt>
                <c:pt idx="15">
                  <c:v>15:45</c:v>
                </c:pt>
                <c:pt idx="16">
                  <c:v>15:50</c:v>
                </c:pt>
                <c:pt idx="17">
                  <c:v>15:55</c:v>
                </c:pt>
                <c:pt idx="18">
                  <c:v>16:00</c:v>
                </c:pt>
                <c:pt idx="19">
                  <c:v>16:05</c:v>
                </c:pt>
                <c:pt idx="20">
                  <c:v>16:10</c:v>
                </c:pt>
                <c:pt idx="21">
                  <c:v>16:15</c:v>
                </c:pt>
                <c:pt idx="22">
                  <c:v>16:20</c:v>
                </c:pt>
                <c:pt idx="23">
                  <c:v>16:25</c:v>
                </c:pt>
                <c:pt idx="24">
                  <c:v>16:30</c:v>
                </c:pt>
                <c:pt idx="25">
                  <c:v>16:35</c:v>
                </c:pt>
                <c:pt idx="26">
                  <c:v>16:40</c:v>
                </c:pt>
              </c:strCache>
            </c:strRef>
          </c:cat>
          <c:val>
            <c:numRef>
              <c:f>'02'!$C$41:$C$67</c:f>
              <c:numCache>
                <c:formatCode>Estándar</c:formatCode>
                <c:ptCount val="27"/>
                <c:pt idx="0">
                  <c:v>9600</c:v>
                </c:pt>
                <c:pt idx="1">
                  <c:v>9600</c:v>
                </c:pt>
                <c:pt idx="2">
                  <c:v>9600</c:v>
                </c:pt>
                <c:pt idx="3">
                  <c:v>9600</c:v>
                </c:pt>
                <c:pt idx="4">
                  <c:v>7100</c:v>
                </c:pt>
                <c:pt idx="5">
                  <c:v>7100</c:v>
                </c:pt>
                <c:pt idx="6">
                  <c:v>7100</c:v>
                </c:pt>
                <c:pt idx="7">
                  <c:v>7100</c:v>
                </c:pt>
                <c:pt idx="8">
                  <c:v>7100</c:v>
                </c:pt>
                <c:pt idx="9">
                  <c:v>7100</c:v>
                </c:pt>
                <c:pt idx="10">
                  <c:v>7100</c:v>
                </c:pt>
                <c:pt idx="11">
                  <c:v>7100</c:v>
                </c:pt>
                <c:pt idx="12">
                  <c:v>7100</c:v>
                </c:pt>
                <c:pt idx="13">
                  <c:v>7100</c:v>
                </c:pt>
                <c:pt idx="14">
                  <c:v>7100</c:v>
                </c:pt>
                <c:pt idx="15">
                  <c:v>7100</c:v>
                </c:pt>
                <c:pt idx="16">
                  <c:v>7100</c:v>
                </c:pt>
                <c:pt idx="17">
                  <c:v>7100</c:v>
                </c:pt>
                <c:pt idx="18">
                  <c:v>7100</c:v>
                </c:pt>
                <c:pt idx="19">
                  <c:v>4100</c:v>
                </c:pt>
                <c:pt idx="20">
                  <c:v>4100</c:v>
                </c:pt>
                <c:pt idx="21">
                  <c:v>4100</c:v>
                </c:pt>
                <c:pt idx="22">
                  <c:v>4100</c:v>
                </c:pt>
                <c:pt idx="23">
                  <c:v>4100</c:v>
                </c:pt>
                <c:pt idx="24">
                  <c:v>4100</c:v>
                </c:pt>
                <c:pt idx="25">
                  <c:v>4100</c:v>
                </c:pt>
                <c:pt idx="26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D-48A3-84CD-99C1F8619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6476848"/>
        <c:axId val="1596335392"/>
      </c:barChart>
      <c:catAx>
        <c:axId val="1216476848"/>
        <c:scaling>
          <c:orientation val="minMax"/>
        </c:scaling>
        <c:delete val="0"/>
        <c:axPos val="b"/>
        <c:numFmt formatCode="Estándar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96335392"/>
        <c:crosses val="autoZero"/>
        <c:auto val="1"/>
        <c:lblAlgn val="ctr"/>
        <c:lblOffset val="100"/>
        <c:noMultiLvlLbl val="0"/>
      </c:catAx>
      <c:valAx>
        <c:axId val="15963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Estándar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6476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MADRES</a:t>
            </a:r>
            <a:r>
              <a:rPr lang="es-AR" baseline="0"/>
              <a:t> 02/09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'02'!$B$70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'02'!$A$71:$A$97</c:f>
              <c:strCache>
                <c:ptCount val="27"/>
                <c:pt idx="0">
                  <c:v>20:55</c:v>
                </c:pt>
                <c:pt idx="1">
                  <c:v>21:00</c:v>
                </c:pt>
                <c:pt idx="2">
                  <c:v>21:05</c:v>
                </c:pt>
                <c:pt idx="3">
                  <c:v>21:10</c:v>
                </c:pt>
                <c:pt idx="4">
                  <c:v>21:15</c:v>
                </c:pt>
                <c:pt idx="5">
                  <c:v>21:20</c:v>
                </c:pt>
                <c:pt idx="6">
                  <c:v>21:25</c:v>
                </c:pt>
                <c:pt idx="7">
                  <c:v>21:30</c:v>
                </c:pt>
                <c:pt idx="8">
                  <c:v>21:35</c:v>
                </c:pt>
                <c:pt idx="9">
                  <c:v>21:40</c:v>
                </c:pt>
                <c:pt idx="10">
                  <c:v>21:45</c:v>
                </c:pt>
                <c:pt idx="11">
                  <c:v>21:50</c:v>
                </c:pt>
                <c:pt idx="12">
                  <c:v>21:55</c:v>
                </c:pt>
                <c:pt idx="13">
                  <c:v>22:00</c:v>
                </c:pt>
                <c:pt idx="14">
                  <c:v>22:05</c:v>
                </c:pt>
                <c:pt idx="15">
                  <c:v>22:10</c:v>
                </c:pt>
                <c:pt idx="16">
                  <c:v>22:15</c:v>
                </c:pt>
                <c:pt idx="17">
                  <c:v>22:20</c:v>
                </c:pt>
                <c:pt idx="18">
                  <c:v>22:25</c:v>
                </c:pt>
                <c:pt idx="19">
                  <c:v>22:30</c:v>
                </c:pt>
                <c:pt idx="20">
                  <c:v>22:35</c:v>
                </c:pt>
                <c:pt idx="21">
                  <c:v>22:40</c:v>
                </c:pt>
                <c:pt idx="22">
                  <c:v>22:45</c:v>
                </c:pt>
                <c:pt idx="23">
                  <c:v>22:50</c:v>
                </c:pt>
                <c:pt idx="24">
                  <c:v>22:55</c:v>
                </c:pt>
                <c:pt idx="25">
                  <c:v>23:00</c:v>
                </c:pt>
                <c:pt idx="26">
                  <c:v>23:05</c:v>
                </c:pt>
              </c:strCache>
            </c:strRef>
          </c:cat>
          <c:val>
            <c:numRef>
              <c:f>'02'!$B$71:$B$97</c:f>
              <c:numCache>
                <c:formatCode>Estándar</c:formatCode>
                <c:ptCount val="27"/>
                <c:pt idx="0">
                  <c:v>144</c:v>
                </c:pt>
                <c:pt idx="1">
                  <c:v>296</c:v>
                </c:pt>
                <c:pt idx="2">
                  <c:v>542</c:v>
                </c:pt>
                <c:pt idx="3">
                  <c:v>154</c:v>
                </c:pt>
                <c:pt idx="4">
                  <c:v>1843</c:v>
                </c:pt>
                <c:pt idx="5">
                  <c:v>987</c:v>
                </c:pt>
                <c:pt idx="6">
                  <c:v>1610</c:v>
                </c:pt>
                <c:pt idx="7">
                  <c:v>1716</c:v>
                </c:pt>
                <c:pt idx="8">
                  <c:v>3333</c:v>
                </c:pt>
                <c:pt idx="9">
                  <c:v>3371</c:v>
                </c:pt>
                <c:pt idx="10">
                  <c:v>3366</c:v>
                </c:pt>
                <c:pt idx="11">
                  <c:v>3396</c:v>
                </c:pt>
                <c:pt idx="12">
                  <c:v>3374</c:v>
                </c:pt>
                <c:pt idx="13">
                  <c:v>3317</c:v>
                </c:pt>
                <c:pt idx="14">
                  <c:v>3337</c:v>
                </c:pt>
                <c:pt idx="15">
                  <c:v>3345</c:v>
                </c:pt>
                <c:pt idx="16">
                  <c:v>3318</c:v>
                </c:pt>
                <c:pt idx="17">
                  <c:v>3328</c:v>
                </c:pt>
                <c:pt idx="18">
                  <c:v>3296</c:v>
                </c:pt>
                <c:pt idx="19">
                  <c:v>1783</c:v>
                </c:pt>
                <c:pt idx="20">
                  <c:v>1740</c:v>
                </c:pt>
                <c:pt idx="21">
                  <c:v>241</c:v>
                </c:pt>
                <c:pt idx="22">
                  <c:v>1451</c:v>
                </c:pt>
                <c:pt idx="23">
                  <c:v>1515</c:v>
                </c:pt>
                <c:pt idx="24">
                  <c:v>889</c:v>
                </c:pt>
                <c:pt idx="25">
                  <c:v>378</c:v>
                </c:pt>
                <c:pt idx="26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0-4C5E-8CA4-E7128597BB8F}"/>
            </c:ext>
          </c:extLst>
        </c:ser>
        <c:ser>
          <c:idx val="1"/>
          <c:order val="1"/>
          <c:tx>
            <c:strRef>
              <c:f>'02'!$C$70</c:f>
              <c:strCache>
                <c:ptCount val="1"/>
                <c:pt idx="0">
                  <c:v>Chimi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'02'!$A$71:$A$97</c:f>
              <c:strCache>
                <c:ptCount val="27"/>
                <c:pt idx="0">
                  <c:v>20:55</c:v>
                </c:pt>
                <c:pt idx="1">
                  <c:v>21:00</c:v>
                </c:pt>
                <c:pt idx="2">
                  <c:v>21:05</c:v>
                </c:pt>
                <c:pt idx="3">
                  <c:v>21:10</c:v>
                </c:pt>
                <c:pt idx="4">
                  <c:v>21:15</c:v>
                </c:pt>
                <c:pt idx="5">
                  <c:v>21:20</c:v>
                </c:pt>
                <c:pt idx="6">
                  <c:v>21:25</c:v>
                </c:pt>
                <c:pt idx="7">
                  <c:v>21:30</c:v>
                </c:pt>
                <c:pt idx="8">
                  <c:v>21:35</c:v>
                </c:pt>
                <c:pt idx="9">
                  <c:v>21:40</c:v>
                </c:pt>
                <c:pt idx="10">
                  <c:v>21:45</c:v>
                </c:pt>
                <c:pt idx="11">
                  <c:v>21:50</c:v>
                </c:pt>
                <c:pt idx="12">
                  <c:v>21:55</c:v>
                </c:pt>
                <c:pt idx="13">
                  <c:v>22:00</c:v>
                </c:pt>
                <c:pt idx="14">
                  <c:v>22:05</c:v>
                </c:pt>
                <c:pt idx="15">
                  <c:v>22:10</c:v>
                </c:pt>
                <c:pt idx="16">
                  <c:v>22:15</c:v>
                </c:pt>
                <c:pt idx="17">
                  <c:v>22:20</c:v>
                </c:pt>
                <c:pt idx="18">
                  <c:v>22:25</c:v>
                </c:pt>
                <c:pt idx="19">
                  <c:v>22:30</c:v>
                </c:pt>
                <c:pt idx="20">
                  <c:v>22:35</c:v>
                </c:pt>
                <c:pt idx="21">
                  <c:v>22:40</c:v>
                </c:pt>
                <c:pt idx="22">
                  <c:v>22:45</c:v>
                </c:pt>
                <c:pt idx="23">
                  <c:v>22:50</c:v>
                </c:pt>
                <c:pt idx="24">
                  <c:v>22:55</c:v>
                </c:pt>
                <c:pt idx="25">
                  <c:v>23:00</c:v>
                </c:pt>
                <c:pt idx="26">
                  <c:v>23:05</c:v>
                </c:pt>
              </c:strCache>
            </c:strRef>
          </c:cat>
          <c:val>
            <c:numRef>
              <c:f>'02'!$C$71:$C$97</c:f>
              <c:numCache>
                <c:formatCode>Estándar</c:formatCode>
                <c:ptCount val="27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3500</c:v>
                </c:pt>
                <c:pt idx="4">
                  <c:v>3500</c:v>
                </c:pt>
                <c:pt idx="5">
                  <c:v>4500</c:v>
                </c:pt>
                <c:pt idx="6">
                  <c:v>5500</c:v>
                </c:pt>
                <c:pt idx="7">
                  <c:v>5500</c:v>
                </c:pt>
                <c:pt idx="8">
                  <c:v>5500</c:v>
                </c:pt>
                <c:pt idx="9">
                  <c:v>5500</c:v>
                </c:pt>
                <c:pt idx="10">
                  <c:v>5500</c:v>
                </c:pt>
                <c:pt idx="11">
                  <c:v>5500</c:v>
                </c:pt>
                <c:pt idx="12">
                  <c:v>5500</c:v>
                </c:pt>
                <c:pt idx="13">
                  <c:v>5500</c:v>
                </c:pt>
                <c:pt idx="14">
                  <c:v>5500</c:v>
                </c:pt>
                <c:pt idx="15">
                  <c:v>5500</c:v>
                </c:pt>
                <c:pt idx="16">
                  <c:v>5500</c:v>
                </c:pt>
                <c:pt idx="17">
                  <c:v>5500</c:v>
                </c:pt>
                <c:pt idx="18">
                  <c:v>5500</c:v>
                </c:pt>
                <c:pt idx="19">
                  <c:v>7000</c:v>
                </c:pt>
                <c:pt idx="20">
                  <c:v>7000</c:v>
                </c:pt>
                <c:pt idx="21">
                  <c:v>7000</c:v>
                </c:pt>
                <c:pt idx="22">
                  <c:v>7000</c:v>
                </c:pt>
                <c:pt idx="23">
                  <c:v>7000</c:v>
                </c:pt>
                <c:pt idx="24">
                  <c:v>5500</c:v>
                </c:pt>
                <c:pt idx="25">
                  <c:v>5500</c:v>
                </c:pt>
                <c:pt idx="26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0-4C5E-8CA4-E7128597B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7856032"/>
        <c:axId val="1607853152"/>
      </c:barChart>
      <c:catAx>
        <c:axId val="1607856032"/>
        <c:scaling>
          <c:orientation val="minMax"/>
        </c:scaling>
        <c:delete val="0"/>
        <c:axPos val="b"/>
        <c:numFmt formatCode="Estándar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07853152"/>
        <c:crosses val="autoZero"/>
        <c:auto val="1"/>
        <c:lblAlgn val="ctr"/>
        <c:lblOffset val="100"/>
        <c:noMultiLvlLbl val="0"/>
      </c:catAx>
      <c:valAx>
        <c:axId val="16078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Estándar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07856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742949</xdr:colOff>
      <xdr:row>3</xdr:row>
      <xdr:rowOff>178116</xdr:rowOff>
    </xdr:from>
    <xdr:to>
      <xdr:col>18</xdr:col>
      <xdr:colOff>314324</xdr:colOff>
      <xdr:row>29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EDC0FA-E6EB-466C-B1BA-FF1BD9201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9524</xdr:colOff>
      <xdr:row>35</xdr:row>
      <xdr:rowOff>4762</xdr:rowOff>
    </xdr:from>
    <xdr:to>
      <xdr:col>17</xdr:col>
      <xdr:colOff>752475</xdr:colOff>
      <xdr:row>58</xdr:row>
      <xdr:rowOff>28576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DD40C8-0EBC-4587-8B5C-14112450F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9526</xdr:colOff>
      <xdr:row>4</xdr:row>
      <xdr:rowOff>180975</xdr:rowOff>
    </xdr:from>
    <xdr:to>
      <xdr:col>19</xdr:col>
      <xdr:colOff>714375</xdr:colOff>
      <xdr:row>27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D09F6F-9A74-C671-1D3D-BEEA7C346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14286</xdr:colOff>
      <xdr:row>42</xdr:row>
      <xdr:rowOff>185736</xdr:rowOff>
    </xdr:from>
    <xdr:to>
      <xdr:col>18</xdr:col>
      <xdr:colOff>752475</xdr:colOff>
      <xdr:row>63</xdr:row>
      <xdr:rowOff>114299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0A7B91-733F-E80D-F4F3-F2D9EAA2D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14287</xdr:colOff>
      <xdr:row>71</xdr:row>
      <xdr:rowOff>185736</xdr:rowOff>
    </xdr:from>
    <xdr:to>
      <xdr:col>18</xdr:col>
      <xdr:colOff>733425</xdr:colOff>
      <xdr:row>94</xdr:row>
      <xdr:rowOff>152399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503D0E-03EB-02E4-01FE-BD801EE0A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</xdr:row>
          <xdr:rowOff>0</xdr:rowOff>
        </xdr:from>
        <xdr:to>
          <xdr:col>20</xdr:col>
          <xdr:colOff>333375</xdr:colOff>
          <xdr:row>48</xdr:row>
          <xdr:rowOff>38100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5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</xdr:row>
          <xdr:rowOff>0</xdr:rowOff>
        </xdr:from>
        <xdr:to>
          <xdr:col>13</xdr:col>
          <xdr:colOff>619125</xdr:colOff>
          <xdr:row>48</xdr:row>
          <xdr:rowOff>38100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5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ntivero" refreshedDate="45541.694820138888" createdVersion="7" refreshedVersion="7" minRefreshableVersion="3" recordCount="68" xr:uid="{0DE94144-98C6-4E27-9D41-47F7D03E05FA}">
  <cacheSource type="worksheet">
    <worksheetSource ref="C3:F74" sheet="04"/>
  </cacheSource>
  <cacheFields count="2">
    <cacheField name="Cant" numFmtId="0">
      <sharedItems containsSemiMixedTypes="0" containsString="0" containsNumber="1" containsInteger="1" minValue="-3739" maxValue="2496"/>
    </cacheField>
    <cacheField name="hora" numFmtId="0">
      <sharedItems count="29">
        <s v="13:30"/>
        <s v="13:35"/>
        <s v="13:40"/>
        <s v="13:45"/>
        <s v="13:50"/>
        <s v="13:55"/>
        <s v="14:00"/>
        <s v="14:05"/>
        <s v="14:10"/>
        <s v="14:15"/>
        <s v="14:20"/>
        <s v="14:25"/>
        <s v="14:30"/>
        <s v="14:35"/>
        <s v="14:40"/>
        <s v="14:45"/>
        <s v="14:55"/>
        <s v="15:05"/>
        <s v="15:10"/>
        <s v="15:20"/>
        <s v="15:30"/>
        <s v="15:40"/>
        <s v="15:45"/>
        <s v="15:55"/>
        <s v="16:00"/>
        <s v="16:10"/>
        <s v="16:15"/>
        <s v="16:25"/>
        <s v="16: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16"/>
    <x v="0"/>
  </r>
  <r>
    <n v="-420"/>
    <x v="0"/>
  </r>
  <r>
    <n v="-420"/>
    <x v="0"/>
  </r>
  <r>
    <n v="-420"/>
    <x v="0"/>
  </r>
  <r>
    <n v="-240"/>
    <x v="0"/>
  </r>
  <r>
    <n v="636"/>
    <x v="1"/>
  </r>
  <r>
    <n v="636"/>
    <x v="1"/>
  </r>
  <r>
    <n v="636"/>
    <x v="1"/>
  </r>
  <r>
    <n v="77"/>
    <x v="2"/>
  </r>
  <r>
    <n v="325"/>
    <x v="2"/>
  </r>
  <r>
    <n v="159"/>
    <x v="3"/>
  </r>
  <r>
    <n v="248"/>
    <x v="3"/>
  </r>
  <r>
    <n v="248"/>
    <x v="3"/>
  </r>
  <r>
    <n v="248"/>
    <x v="3"/>
  </r>
  <r>
    <n v="246"/>
    <x v="3"/>
  </r>
  <r>
    <n v="119"/>
    <x v="4"/>
  </r>
  <r>
    <n v="119"/>
    <x v="4"/>
  </r>
  <r>
    <n v="119"/>
    <x v="4"/>
  </r>
  <r>
    <n v="-52"/>
    <x v="5"/>
  </r>
  <r>
    <n v="-52"/>
    <x v="5"/>
  </r>
  <r>
    <n v="-92"/>
    <x v="6"/>
  </r>
  <r>
    <n v="-92"/>
    <x v="6"/>
  </r>
  <r>
    <n v="-92"/>
    <x v="6"/>
  </r>
  <r>
    <n v="20"/>
    <x v="7"/>
  </r>
  <r>
    <n v="-9"/>
    <x v="7"/>
  </r>
  <r>
    <n v="-9"/>
    <x v="7"/>
  </r>
  <r>
    <n v="50"/>
    <x v="7"/>
  </r>
  <r>
    <n v="-212"/>
    <x v="8"/>
  </r>
  <r>
    <n v="-311"/>
    <x v="8"/>
  </r>
  <r>
    <n v="-258"/>
    <x v="8"/>
  </r>
  <r>
    <n v="132"/>
    <x v="9"/>
  </r>
  <r>
    <n v="151"/>
    <x v="9"/>
  </r>
  <r>
    <n v="341"/>
    <x v="10"/>
  </r>
  <r>
    <n v="407"/>
    <x v="10"/>
  </r>
  <r>
    <n v="373"/>
    <x v="10"/>
  </r>
  <r>
    <n v="-345"/>
    <x v="11"/>
  </r>
  <r>
    <n v="-337"/>
    <x v="11"/>
  </r>
  <r>
    <n v="-653"/>
    <x v="12"/>
  </r>
  <r>
    <n v="-333"/>
    <x v="12"/>
  </r>
  <r>
    <n v="-360"/>
    <x v="12"/>
  </r>
  <r>
    <n v="-179"/>
    <x v="12"/>
  </r>
  <r>
    <n v="-197"/>
    <x v="12"/>
  </r>
  <r>
    <n v="-433"/>
    <x v="13"/>
  </r>
  <r>
    <n v="-433"/>
    <x v="13"/>
  </r>
  <r>
    <n v="54"/>
    <x v="14"/>
  </r>
  <r>
    <n v="54"/>
    <x v="14"/>
  </r>
  <r>
    <n v="-127"/>
    <x v="14"/>
  </r>
  <r>
    <n v="108"/>
    <x v="15"/>
  </r>
  <r>
    <n v="289"/>
    <x v="15"/>
  </r>
  <r>
    <n v="114"/>
    <x v="15"/>
  </r>
  <r>
    <n v="112"/>
    <x v="15"/>
  </r>
  <r>
    <n v="-793"/>
    <x v="16"/>
  </r>
  <r>
    <n v="-820"/>
    <x v="16"/>
  </r>
  <r>
    <n v="-845"/>
    <x v="16"/>
  </r>
  <r>
    <n v="-1673"/>
    <x v="17"/>
  </r>
  <r>
    <n v="-1646"/>
    <x v="17"/>
  </r>
  <r>
    <n v="-3046"/>
    <x v="18"/>
  </r>
  <r>
    <n v="-3046"/>
    <x v="18"/>
  </r>
  <r>
    <n v="-3739"/>
    <x v="19"/>
  </r>
  <r>
    <n v="2496"/>
    <x v="20"/>
  </r>
  <r>
    <n v="297"/>
    <x v="21"/>
  </r>
  <r>
    <n v="73"/>
    <x v="22"/>
  </r>
  <r>
    <n v="-850"/>
    <x v="23"/>
  </r>
  <r>
    <n v="80"/>
    <x v="24"/>
  </r>
  <r>
    <n v="440"/>
    <x v="25"/>
  </r>
  <r>
    <n v="73"/>
    <x v="26"/>
  </r>
  <r>
    <n v="-312"/>
    <x v="27"/>
  </r>
  <r>
    <n v="-1839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5BD54-55C7-4BDC-AABC-E0E7C3E3B7D6}" name="TablaDiná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33" firstHeaderRow="1" firstDataRow="1" firstDataCol="1"/>
  <pivotFields count="2">
    <pivotField dataField="1"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a de Ca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E83F-8F75-4F92-9A89-DA212B1F5B8E}">
  <dimension ref="B2:R21"/>
  <sheetViews>
    <sheetView showGridLines="0" workbookViewId="0">
      <selection activeCell="J29" sqref="J29"/>
    </sheetView>
  </sheetViews>
  <sheetFormatPr baseColWidth="10" defaultRowHeight="15" x14ac:dyDescent="0.25"/>
  <cols>
    <col min="12" max="12" width="23.42578125" bestFit="1" customWidth="1"/>
    <col min="13" max="13" width="13.5703125" bestFit="1" customWidth="1"/>
  </cols>
  <sheetData>
    <row r="2" spans="2:18" x14ac:dyDescent="0.25">
      <c r="B2" s="43" t="s">
        <v>180</v>
      </c>
      <c r="C2" s="43"/>
      <c r="D2" s="43"/>
      <c r="E2" s="43"/>
      <c r="L2" s="44" t="s">
        <v>191</v>
      </c>
      <c r="M2" s="44"/>
      <c r="O2" s="4" t="s">
        <v>201</v>
      </c>
      <c r="P2" s="4" t="s">
        <v>200</v>
      </c>
      <c r="Q2" s="4" t="s">
        <v>202</v>
      </c>
      <c r="R2" s="4" t="s">
        <v>203</v>
      </c>
    </row>
    <row r="3" spans="2:18" x14ac:dyDescent="0.25">
      <c r="B3" s="4" t="s">
        <v>168</v>
      </c>
      <c r="C3" s="4" t="s">
        <v>169</v>
      </c>
      <c r="D3" s="4" t="s">
        <v>99</v>
      </c>
      <c r="E3" s="4" t="s">
        <v>100</v>
      </c>
      <c r="L3" t="s">
        <v>182</v>
      </c>
      <c r="M3" s="6">
        <v>59400</v>
      </c>
      <c r="O3" t="s">
        <v>192</v>
      </c>
      <c r="P3" s="8">
        <v>23700</v>
      </c>
      <c r="Q3" s="8"/>
      <c r="R3" s="8"/>
    </row>
    <row r="4" spans="2:18" x14ac:dyDescent="0.25">
      <c r="B4" t="s">
        <v>6</v>
      </c>
      <c r="C4" s="8">
        <f>'02'!F3</f>
        <v>3432.344827586207</v>
      </c>
      <c r="D4" s="8">
        <f>'02'!G3</f>
        <v>13259.931034482759</v>
      </c>
      <c r="E4" s="9">
        <f>'02'!H3</f>
        <v>387.61</v>
      </c>
      <c r="L4" s="40" t="s">
        <v>183</v>
      </c>
      <c r="M4" s="41">
        <v>100000</v>
      </c>
      <c r="O4" t="s">
        <v>193</v>
      </c>
      <c r="P4" s="8">
        <v>29400</v>
      </c>
      <c r="Q4" s="8">
        <f>P4-P3</f>
        <v>5700</v>
      </c>
      <c r="R4" s="8"/>
    </row>
    <row r="5" spans="2:18" x14ac:dyDescent="0.25">
      <c r="B5" t="s">
        <v>170</v>
      </c>
      <c r="C5" s="8">
        <f>'02'!F41</f>
        <v>4997.3703703703704</v>
      </c>
      <c r="D5" s="8">
        <f>'02'!G41</f>
        <v>11578.851851851852</v>
      </c>
      <c r="E5" s="9">
        <f>'02'!H41</f>
        <v>279.14</v>
      </c>
      <c r="L5" t="s">
        <v>184</v>
      </c>
      <c r="M5" s="8">
        <f>M4-M3</f>
        <v>40600</v>
      </c>
      <c r="O5" t="s">
        <v>194</v>
      </c>
      <c r="P5" s="8">
        <v>33100</v>
      </c>
      <c r="Q5" s="8">
        <f t="shared" ref="Q5:Q10" si="0">P5-P4</f>
        <v>3700</v>
      </c>
      <c r="R5" s="8"/>
    </row>
    <row r="6" spans="2:18" x14ac:dyDescent="0.25">
      <c r="B6" t="s">
        <v>171</v>
      </c>
      <c r="C6" s="8">
        <f>'02'!F71</f>
        <v>1944.5555555555557</v>
      </c>
      <c r="D6" s="8">
        <f>'02'!G71</f>
        <v>7203.8148148148148</v>
      </c>
      <c r="E6" s="11">
        <f>'02'!H71</f>
        <v>191.55</v>
      </c>
      <c r="L6" t="s">
        <v>185</v>
      </c>
      <c r="M6" s="8">
        <f>R6</f>
        <v>5063.8571428571431</v>
      </c>
      <c r="O6" t="s">
        <v>195</v>
      </c>
      <c r="P6" s="8">
        <v>40600</v>
      </c>
      <c r="Q6" s="8">
        <f t="shared" si="0"/>
        <v>7500</v>
      </c>
      <c r="R6" s="8">
        <f>AVERAGE(Q4:Q10)</f>
        <v>5063.8571428571431</v>
      </c>
    </row>
    <row r="7" spans="2:18" x14ac:dyDescent="0.25">
      <c r="E7" s="10">
        <f>SUM(E4:E6)</f>
        <v>858.3</v>
      </c>
      <c r="F7" t="s">
        <v>172</v>
      </c>
      <c r="L7" t="s">
        <v>186</v>
      </c>
      <c r="M7" s="8">
        <v>4</v>
      </c>
      <c r="O7" t="s">
        <v>196</v>
      </c>
      <c r="P7" s="8">
        <v>46000</v>
      </c>
      <c r="Q7" s="8">
        <f t="shared" si="0"/>
        <v>5400</v>
      </c>
      <c r="R7" s="8"/>
    </row>
    <row r="8" spans="2:18" x14ac:dyDescent="0.25">
      <c r="L8" t="s">
        <v>187</v>
      </c>
      <c r="M8" s="8">
        <f>M6*M7</f>
        <v>20255.428571428572</v>
      </c>
      <c r="O8" t="s">
        <v>197</v>
      </c>
      <c r="P8" s="8">
        <v>48800</v>
      </c>
      <c r="Q8" s="8">
        <f t="shared" si="0"/>
        <v>2800</v>
      </c>
      <c r="R8" s="8"/>
    </row>
    <row r="9" spans="2:18" x14ac:dyDescent="0.25">
      <c r="L9" s="40" t="s">
        <v>188</v>
      </c>
      <c r="M9" s="41">
        <f>M5-M8</f>
        <v>20344.571428571428</v>
      </c>
      <c r="O9" t="s">
        <v>198</v>
      </c>
      <c r="P9" s="8">
        <v>51900</v>
      </c>
      <c r="Q9" s="8">
        <f t="shared" si="0"/>
        <v>3100</v>
      </c>
      <c r="R9" s="8"/>
    </row>
    <row r="10" spans="2:18" x14ac:dyDescent="0.25">
      <c r="B10" s="43" t="s">
        <v>179</v>
      </c>
      <c r="C10" s="43"/>
      <c r="D10" s="43"/>
      <c r="E10" s="43"/>
      <c r="L10" t="s">
        <v>189</v>
      </c>
      <c r="M10" s="42">
        <v>1300</v>
      </c>
      <c r="O10" t="s">
        <v>199</v>
      </c>
      <c r="P10" s="8">
        <v>59147</v>
      </c>
      <c r="Q10" s="8">
        <f t="shared" si="0"/>
        <v>7247</v>
      </c>
      <c r="R10" s="8"/>
    </row>
    <row r="11" spans="2:18" x14ac:dyDescent="0.25">
      <c r="B11" s="4" t="s">
        <v>168</v>
      </c>
      <c r="C11" s="4" t="s">
        <v>169</v>
      </c>
      <c r="D11" s="4" t="s">
        <v>99</v>
      </c>
      <c r="E11" s="4" t="s">
        <v>100</v>
      </c>
      <c r="L11" t="s">
        <v>190</v>
      </c>
      <c r="M11" s="42">
        <f>M10/M7</f>
        <v>325</v>
      </c>
    </row>
    <row r="12" spans="2:18" x14ac:dyDescent="0.25">
      <c r="B12" t="s">
        <v>6</v>
      </c>
      <c r="C12" s="8">
        <f>'03'!F3</f>
        <v>3752.8571428571427</v>
      </c>
      <c r="D12" s="8">
        <f>'03'!G3</f>
        <v>14824.285714285714</v>
      </c>
      <c r="E12" s="9">
        <f>'03'!H3</f>
        <v>495.58000000000004</v>
      </c>
    </row>
    <row r="13" spans="2:18" x14ac:dyDescent="0.25">
      <c r="B13" t="s">
        <v>170</v>
      </c>
      <c r="C13" s="8">
        <f>'03'!F34</f>
        <v>3024.04</v>
      </c>
      <c r="D13" s="8">
        <f>'03'!G34</f>
        <v>9764.0400000000009</v>
      </c>
      <c r="E13" s="11">
        <f>'03'!H34</f>
        <v>45.204999999999998</v>
      </c>
    </row>
    <row r="14" spans="2:18" x14ac:dyDescent="0.25">
      <c r="E14" s="10">
        <f>SUM(E12:E13)</f>
        <v>540.78500000000008</v>
      </c>
      <c r="F14" t="s">
        <v>172</v>
      </c>
    </row>
    <row r="17" spans="2:6" x14ac:dyDescent="0.25">
      <c r="B17" s="43" t="s">
        <v>181</v>
      </c>
      <c r="C17" s="43"/>
      <c r="D17" s="43"/>
      <c r="E17" s="43"/>
    </row>
    <row r="18" spans="2:6" x14ac:dyDescent="0.25">
      <c r="B18" s="4" t="s">
        <v>168</v>
      </c>
      <c r="C18" s="4" t="s">
        <v>169</v>
      </c>
      <c r="D18" s="4" t="s">
        <v>99</v>
      </c>
      <c r="E18" s="4" t="s">
        <v>100</v>
      </c>
    </row>
    <row r="19" spans="2:6" x14ac:dyDescent="0.25">
      <c r="B19" t="s">
        <v>6</v>
      </c>
      <c r="C19" s="8" t="e">
        <f>'04'!#REF!</f>
        <v>#REF!</v>
      </c>
      <c r="D19" s="8" t="e">
        <f>'04'!#REF!</f>
        <v>#REF!</v>
      </c>
      <c r="E19" s="9" t="e">
        <f>'04'!#REF!</f>
        <v>#REF!</v>
      </c>
    </row>
    <row r="20" spans="2:6" x14ac:dyDescent="0.25">
      <c r="B20" t="s">
        <v>170</v>
      </c>
      <c r="C20" s="8" t="e">
        <f>'04'!#REF!</f>
        <v>#REF!</v>
      </c>
      <c r="D20" s="8" t="e">
        <f>'04'!#REF!</f>
        <v>#REF!</v>
      </c>
      <c r="E20" s="11" t="e">
        <f>'04'!#REF!</f>
        <v>#REF!</v>
      </c>
    </row>
    <row r="21" spans="2:6" x14ac:dyDescent="0.25">
      <c r="E21" s="10" t="e">
        <f>SUM(E19:E20)</f>
        <v>#REF!</v>
      </c>
      <c r="F21" t="s">
        <v>172</v>
      </c>
    </row>
  </sheetData>
  <mergeCells count="4">
    <mergeCell ref="B2:E2"/>
    <mergeCell ref="B10:E10"/>
    <mergeCell ref="B17:E17"/>
    <mergeCell ref="L2:M2"/>
  </mergeCells>
  <phoneticPr fontId="21" type="noConversion"/>
  <hyperlinks>
    <hyperlink ref="B2:E2" location="'02'!A1" display="'02'!A1" xr:uid="{B5F786EF-FF94-4687-8BA9-C2B939B1CA02}"/>
    <hyperlink ref="B17:E17" location="'04'!A1" display="'04'!A1" xr:uid="{6E7E2AC0-1B31-4E11-AC97-2B00FDB26DC0}"/>
    <hyperlink ref="B10:E10" location="'03'!A1" display="'03'!A1" xr:uid="{774906F2-007C-4D11-93E4-EDAD4A9434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448F-78F1-4B99-B06E-A0975AE62497}">
  <dimension ref="A3:L78"/>
  <sheetViews>
    <sheetView topLeftCell="A25" workbookViewId="0">
      <selection activeCell="L13" sqref="L13:L41"/>
    </sheetView>
  </sheetViews>
  <sheetFormatPr baseColWidth="10" defaultRowHeight="15" x14ac:dyDescent="0.25"/>
  <cols>
    <col min="1" max="1" width="17.85546875" bestFit="1" customWidth="1"/>
    <col min="2" max="2" width="13.42578125" bestFit="1" customWidth="1"/>
  </cols>
  <sheetData>
    <row r="3" spans="1:12" x14ac:dyDescent="0.25">
      <c r="A3" s="12" t="s">
        <v>174</v>
      </c>
      <c r="B3" t="s">
        <v>176</v>
      </c>
    </row>
    <row r="4" spans="1:12" x14ac:dyDescent="0.25">
      <c r="A4" s="13" t="s">
        <v>94</v>
      </c>
      <c r="B4">
        <v>-1384</v>
      </c>
    </row>
    <row r="5" spans="1:12" x14ac:dyDescent="0.25">
      <c r="A5" s="13" t="s">
        <v>95</v>
      </c>
      <c r="B5">
        <v>1908</v>
      </c>
    </row>
    <row r="6" spans="1:12" x14ac:dyDescent="0.25">
      <c r="A6" s="13" t="s">
        <v>96</v>
      </c>
      <c r="B6">
        <v>402</v>
      </c>
    </row>
    <row r="7" spans="1:12" x14ac:dyDescent="0.25">
      <c r="A7" s="13" t="s">
        <v>97</v>
      </c>
      <c r="B7">
        <v>1149</v>
      </c>
    </row>
    <row r="8" spans="1:12" x14ac:dyDescent="0.25">
      <c r="A8" s="13" t="s">
        <v>36</v>
      </c>
      <c r="B8">
        <v>357</v>
      </c>
    </row>
    <row r="9" spans="1:12" x14ac:dyDescent="0.25">
      <c r="A9" s="13" t="s">
        <v>37</v>
      </c>
      <c r="B9">
        <v>-104</v>
      </c>
    </row>
    <row r="10" spans="1:12" x14ac:dyDescent="0.25">
      <c r="A10" s="13" t="s">
        <v>38</v>
      </c>
      <c r="B10">
        <v>-276</v>
      </c>
      <c r="D10" t="s">
        <v>1</v>
      </c>
      <c r="E10" t="s">
        <v>2</v>
      </c>
      <c r="F10" t="s">
        <v>173</v>
      </c>
    </row>
    <row r="11" spans="1:12" x14ac:dyDescent="0.25">
      <c r="A11" s="13" t="s">
        <v>39</v>
      </c>
      <c r="B11">
        <v>52</v>
      </c>
      <c r="D11" s="2">
        <v>45539</v>
      </c>
      <c r="E11">
        <v>116</v>
      </c>
      <c r="F11" t="s">
        <v>94</v>
      </c>
    </row>
    <row r="12" spans="1:12" x14ac:dyDescent="0.25">
      <c r="A12" s="13" t="s">
        <v>40</v>
      </c>
      <c r="B12">
        <v>-781</v>
      </c>
      <c r="D12" s="2">
        <v>45539</v>
      </c>
      <c r="E12">
        <v>-420</v>
      </c>
      <c r="F12" t="s">
        <v>94</v>
      </c>
    </row>
    <row r="13" spans="1:12" x14ac:dyDescent="0.25">
      <c r="A13" s="13" t="s">
        <v>41</v>
      </c>
      <c r="B13">
        <v>283</v>
      </c>
      <c r="D13" s="2">
        <v>45539</v>
      </c>
      <c r="E13">
        <v>-420</v>
      </c>
      <c r="F13" t="s">
        <v>94</v>
      </c>
      <c r="K13" s="13" t="s">
        <v>94</v>
      </c>
      <c r="L13">
        <v>-1384</v>
      </c>
    </row>
    <row r="14" spans="1:12" x14ac:dyDescent="0.25">
      <c r="A14" s="13" t="s">
        <v>42</v>
      </c>
      <c r="B14">
        <v>1121</v>
      </c>
      <c r="D14" s="2">
        <v>45539</v>
      </c>
      <c r="E14">
        <v>-420</v>
      </c>
      <c r="F14" t="s">
        <v>94</v>
      </c>
      <c r="K14" s="13" t="s">
        <v>95</v>
      </c>
      <c r="L14">
        <v>1908</v>
      </c>
    </row>
    <row r="15" spans="1:12" x14ac:dyDescent="0.25">
      <c r="A15" s="13" t="s">
        <v>43</v>
      </c>
      <c r="B15">
        <v>-682</v>
      </c>
      <c r="D15" s="2">
        <v>45539</v>
      </c>
      <c r="E15">
        <v>-240</v>
      </c>
      <c r="F15" t="s">
        <v>94</v>
      </c>
      <c r="K15" s="13" t="s">
        <v>96</v>
      </c>
      <c r="L15">
        <v>402</v>
      </c>
    </row>
    <row r="16" spans="1:12" x14ac:dyDescent="0.25">
      <c r="A16" s="13" t="s">
        <v>44</v>
      </c>
      <c r="B16">
        <v>-1722</v>
      </c>
      <c r="D16" s="2">
        <v>45539</v>
      </c>
      <c r="E16">
        <v>636</v>
      </c>
      <c r="F16" t="s">
        <v>95</v>
      </c>
      <c r="K16" s="13" t="s">
        <v>97</v>
      </c>
      <c r="L16">
        <v>1149</v>
      </c>
    </row>
    <row r="17" spans="1:12" x14ac:dyDescent="0.25">
      <c r="A17" s="13" t="s">
        <v>45</v>
      </c>
      <c r="B17">
        <v>-866</v>
      </c>
      <c r="D17" s="2">
        <v>45539</v>
      </c>
      <c r="E17">
        <v>636</v>
      </c>
      <c r="F17" t="s">
        <v>95</v>
      </c>
      <c r="K17" s="13" t="s">
        <v>36</v>
      </c>
      <c r="L17">
        <v>357</v>
      </c>
    </row>
    <row r="18" spans="1:12" x14ac:dyDescent="0.25">
      <c r="A18" s="13" t="s">
        <v>46</v>
      </c>
      <c r="B18">
        <v>-19</v>
      </c>
      <c r="D18" s="2">
        <v>45539</v>
      </c>
      <c r="E18">
        <v>636</v>
      </c>
      <c r="F18" t="s">
        <v>95</v>
      </c>
      <c r="K18" s="13" t="s">
        <v>37</v>
      </c>
      <c r="L18">
        <v>-104</v>
      </c>
    </row>
    <row r="19" spans="1:12" x14ac:dyDescent="0.25">
      <c r="A19" s="13" t="s">
        <v>47</v>
      </c>
      <c r="B19">
        <v>623</v>
      </c>
      <c r="D19" s="2">
        <v>45539</v>
      </c>
      <c r="E19">
        <v>77</v>
      </c>
      <c r="F19" t="s">
        <v>96</v>
      </c>
      <c r="K19" s="13" t="s">
        <v>38</v>
      </c>
      <c r="L19">
        <v>-276</v>
      </c>
    </row>
    <row r="20" spans="1:12" x14ac:dyDescent="0.25">
      <c r="A20" s="13" t="s">
        <v>49</v>
      </c>
      <c r="B20">
        <v>-2458</v>
      </c>
      <c r="D20" s="2">
        <v>45539</v>
      </c>
      <c r="E20">
        <v>325</v>
      </c>
      <c r="F20" t="s">
        <v>96</v>
      </c>
      <c r="K20" s="13" t="s">
        <v>39</v>
      </c>
      <c r="L20">
        <v>52</v>
      </c>
    </row>
    <row r="21" spans="1:12" x14ac:dyDescent="0.25">
      <c r="A21" s="13" t="s">
        <v>51</v>
      </c>
      <c r="B21">
        <v>-3319</v>
      </c>
      <c r="D21" s="2">
        <v>45539</v>
      </c>
      <c r="E21">
        <v>159</v>
      </c>
      <c r="F21" t="s">
        <v>97</v>
      </c>
      <c r="K21" s="13" t="s">
        <v>40</v>
      </c>
      <c r="L21">
        <v>-781</v>
      </c>
    </row>
    <row r="22" spans="1:12" x14ac:dyDescent="0.25">
      <c r="A22" s="13" t="s">
        <v>52</v>
      </c>
      <c r="B22">
        <v>-6092</v>
      </c>
      <c r="D22" s="2">
        <v>45539</v>
      </c>
      <c r="E22">
        <v>248</v>
      </c>
      <c r="F22" t="s">
        <v>97</v>
      </c>
      <c r="K22" s="13" t="s">
        <v>41</v>
      </c>
      <c r="L22">
        <v>283</v>
      </c>
    </row>
    <row r="23" spans="1:12" x14ac:dyDescent="0.25">
      <c r="A23" s="13" t="s">
        <v>54</v>
      </c>
      <c r="B23">
        <v>-3739</v>
      </c>
      <c r="D23" s="2">
        <v>45539</v>
      </c>
      <c r="E23">
        <v>248</v>
      </c>
      <c r="F23" t="s">
        <v>97</v>
      </c>
      <c r="K23" s="13" t="s">
        <v>42</v>
      </c>
      <c r="L23">
        <v>1121</v>
      </c>
    </row>
    <row r="24" spans="1:12" x14ac:dyDescent="0.25">
      <c r="A24" s="13" t="s">
        <v>56</v>
      </c>
      <c r="B24">
        <v>2496</v>
      </c>
      <c r="D24" s="2">
        <v>45539</v>
      </c>
      <c r="E24">
        <v>248</v>
      </c>
      <c r="F24" t="s">
        <v>97</v>
      </c>
      <c r="K24" s="13" t="s">
        <v>43</v>
      </c>
      <c r="L24">
        <v>-682</v>
      </c>
    </row>
    <row r="25" spans="1:12" x14ac:dyDescent="0.25">
      <c r="A25" s="13" t="s">
        <v>58</v>
      </c>
      <c r="B25">
        <v>297</v>
      </c>
      <c r="D25" s="2">
        <v>45539</v>
      </c>
      <c r="E25">
        <v>246</v>
      </c>
      <c r="F25" t="s">
        <v>97</v>
      </c>
      <c r="K25" s="13" t="s">
        <v>44</v>
      </c>
      <c r="L25">
        <v>-1722</v>
      </c>
    </row>
    <row r="26" spans="1:12" x14ac:dyDescent="0.25">
      <c r="A26" s="13" t="s">
        <v>59</v>
      </c>
      <c r="B26">
        <v>73</v>
      </c>
      <c r="D26" s="2">
        <v>45539</v>
      </c>
      <c r="E26">
        <v>119</v>
      </c>
      <c r="F26" t="s">
        <v>36</v>
      </c>
      <c r="K26" s="13" t="s">
        <v>45</v>
      </c>
      <c r="L26">
        <v>-866</v>
      </c>
    </row>
    <row r="27" spans="1:12" x14ac:dyDescent="0.25">
      <c r="A27" s="13" t="s">
        <v>61</v>
      </c>
      <c r="B27">
        <v>-850</v>
      </c>
      <c r="D27" s="2">
        <v>45539</v>
      </c>
      <c r="E27">
        <v>119</v>
      </c>
      <c r="F27" t="s">
        <v>36</v>
      </c>
      <c r="K27" s="13" t="s">
        <v>46</v>
      </c>
      <c r="L27">
        <v>-19</v>
      </c>
    </row>
    <row r="28" spans="1:12" x14ac:dyDescent="0.25">
      <c r="A28" s="13" t="s">
        <v>62</v>
      </c>
      <c r="B28">
        <v>80</v>
      </c>
      <c r="D28" s="2">
        <v>45539</v>
      </c>
      <c r="E28">
        <v>119</v>
      </c>
      <c r="F28" t="s">
        <v>36</v>
      </c>
      <c r="K28" s="13" t="s">
        <v>47</v>
      </c>
      <c r="L28">
        <v>623</v>
      </c>
    </row>
    <row r="29" spans="1:12" x14ac:dyDescent="0.25">
      <c r="A29" s="13" t="s">
        <v>64</v>
      </c>
      <c r="B29">
        <v>440</v>
      </c>
      <c r="D29" s="2">
        <v>45539</v>
      </c>
      <c r="E29">
        <v>-52</v>
      </c>
      <c r="F29" t="s">
        <v>37</v>
      </c>
      <c r="K29" s="13" t="s">
        <v>49</v>
      </c>
      <c r="L29">
        <v>-2458</v>
      </c>
    </row>
    <row r="30" spans="1:12" x14ac:dyDescent="0.25">
      <c r="A30" s="13" t="s">
        <v>65</v>
      </c>
      <c r="B30">
        <v>73</v>
      </c>
      <c r="D30" s="2">
        <v>45539</v>
      </c>
      <c r="E30">
        <v>-52</v>
      </c>
      <c r="F30" t="s">
        <v>37</v>
      </c>
      <c r="K30" s="13" t="s">
        <v>51</v>
      </c>
      <c r="L30">
        <v>-3319</v>
      </c>
    </row>
    <row r="31" spans="1:12" x14ac:dyDescent="0.25">
      <c r="A31" s="13" t="s">
        <v>67</v>
      </c>
      <c r="B31">
        <v>-312</v>
      </c>
      <c r="D31" s="2">
        <v>45539</v>
      </c>
      <c r="E31">
        <v>-92</v>
      </c>
      <c r="F31" t="s">
        <v>38</v>
      </c>
      <c r="K31" s="13" t="s">
        <v>52</v>
      </c>
      <c r="L31">
        <v>-6092</v>
      </c>
    </row>
    <row r="32" spans="1:12" x14ac:dyDescent="0.25">
      <c r="A32" s="13" t="s">
        <v>68</v>
      </c>
      <c r="B32">
        <v>-1839</v>
      </c>
      <c r="D32" s="2">
        <v>45539</v>
      </c>
      <c r="E32">
        <v>-92</v>
      </c>
      <c r="F32" t="s">
        <v>38</v>
      </c>
      <c r="K32" s="13" t="s">
        <v>54</v>
      </c>
      <c r="L32">
        <v>-3739</v>
      </c>
    </row>
    <row r="33" spans="1:12" x14ac:dyDescent="0.25">
      <c r="A33" s="13" t="s">
        <v>175</v>
      </c>
      <c r="B33">
        <v>-15089</v>
      </c>
      <c r="D33" s="2">
        <v>45539</v>
      </c>
      <c r="E33">
        <v>-92</v>
      </c>
      <c r="F33" t="s">
        <v>38</v>
      </c>
      <c r="K33" s="13" t="s">
        <v>56</v>
      </c>
      <c r="L33">
        <v>2496</v>
      </c>
    </row>
    <row r="34" spans="1:12" x14ac:dyDescent="0.25">
      <c r="D34" s="2">
        <v>45539</v>
      </c>
      <c r="E34">
        <v>20</v>
      </c>
      <c r="F34" t="s">
        <v>39</v>
      </c>
      <c r="K34" s="13" t="s">
        <v>58</v>
      </c>
      <c r="L34">
        <v>297</v>
      </c>
    </row>
    <row r="35" spans="1:12" x14ac:dyDescent="0.25">
      <c r="D35" s="2">
        <v>45539</v>
      </c>
      <c r="E35">
        <v>-9</v>
      </c>
      <c r="F35" t="s">
        <v>39</v>
      </c>
      <c r="K35" s="13" t="s">
        <v>59</v>
      </c>
      <c r="L35">
        <v>73</v>
      </c>
    </row>
    <row r="36" spans="1:12" x14ac:dyDescent="0.25">
      <c r="D36" s="2">
        <v>45539</v>
      </c>
      <c r="E36">
        <v>-9</v>
      </c>
      <c r="F36" t="s">
        <v>39</v>
      </c>
      <c r="K36" s="13" t="s">
        <v>61</v>
      </c>
      <c r="L36">
        <v>-850</v>
      </c>
    </row>
    <row r="37" spans="1:12" x14ac:dyDescent="0.25">
      <c r="D37" s="2">
        <v>45539</v>
      </c>
      <c r="E37">
        <v>50</v>
      </c>
      <c r="F37" t="s">
        <v>39</v>
      </c>
      <c r="K37" s="13" t="s">
        <v>62</v>
      </c>
      <c r="L37">
        <v>80</v>
      </c>
    </row>
    <row r="38" spans="1:12" x14ac:dyDescent="0.25">
      <c r="D38" s="2">
        <v>45539</v>
      </c>
      <c r="E38">
        <v>-212</v>
      </c>
      <c r="F38" t="s">
        <v>40</v>
      </c>
      <c r="K38" s="13" t="s">
        <v>64</v>
      </c>
      <c r="L38">
        <v>440</v>
      </c>
    </row>
    <row r="39" spans="1:12" x14ac:dyDescent="0.25">
      <c r="D39" s="2">
        <v>45539</v>
      </c>
      <c r="E39">
        <v>-311</v>
      </c>
      <c r="F39" t="s">
        <v>40</v>
      </c>
      <c r="K39" s="13" t="s">
        <v>65</v>
      </c>
      <c r="L39">
        <v>73</v>
      </c>
    </row>
    <row r="40" spans="1:12" x14ac:dyDescent="0.25">
      <c r="D40" s="2">
        <v>45539</v>
      </c>
      <c r="E40">
        <v>-258</v>
      </c>
      <c r="F40" t="s">
        <v>40</v>
      </c>
      <c r="K40" s="13" t="s">
        <v>67</v>
      </c>
      <c r="L40">
        <v>-312</v>
      </c>
    </row>
    <row r="41" spans="1:12" x14ac:dyDescent="0.25">
      <c r="D41" s="2">
        <v>45539</v>
      </c>
      <c r="E41">
        <v>132</v>
      </c>
      <c r="F41" t="s">
        <v>41</v>
      </c>
      <c r="K41" s="13" t="s">
        <v>68</v>
      </c>
      <c r="L41">
        <v>-1839</v>
      </c>
    </row>
    <row r="42" spans="1:12" x14ac:dyDescent="0.25">
      <c r="D42" s="2">
        <v>45539</v>
      </c>
      <c r="E42">
        <v>151</v>
      </c>
      <c r="F42" t="s">
        <v>41</v>
      </c>
    </row>
    <row r="43" spans="1:12" x14ac:dyDescent="0.25">
      <c r="D43" s="2">
        <v>45539</v>
      </c>
      <c r="E43">
        <v>341</v>
      </c>
      <c r="F43" t="s">
        <v>42</v>
      </c>
    </row>
    <row r="44" spans="1:12" x14ac:dyDescent="0.25">
      <c r="D44" s="2">
        <v>45539</v>
      </c>
      <c r="E44">
        <v>407</v>
      </c>
      <c r="F44" t="s">
        <v>42</v>
      </c>
    </row>
    <row r="45" spans="1:12" x14ac:dyDescent="0.25">
      <c r="D45" s="2">
        <v>45539</v>
      </c>
      <c r="E45">
        <v>373</v>
      </c>
      <c r="F45" t="s">
        <v>42</v>
      </c>
    </row>
    <row r="46" spans="1:12" x14ac:dyDescent="0.25">
      <c r="D46" s="2">
        <v>45539</v>
      </c>
      <c r="E46">
        <v>-345</v>
      </c>
      <c r="F46" t="s">
        <v>43</v>
      </c>
    </row>
    <row r="47" spans="1:12" x14ac:dyDescent="0.25">
      <c r="D47" s="2">
        <v>45539</v>
      </c>
      <c r="E47">
        <v>-337</v>
      </c>
      <c r="F47" t="s">
        <v>43</v>
      </c>
    </row>
    <row r="48" spans="1:12" x14ac:dyDescent="0.25">
      <c r="D48" s="2">
        <v>45539</v>
      </c>
      <c r="E48">
        <v>-653</v>
      </c>
      <c r="F48" t="s">
        <v>44</v>
      </c>
    </row>
    <row r="49" spans="4:6" x14ac:dyDescent="0.25">
      <c r="D49" s="2">
        <v>45539</v>
      </c>
      <c r="E49">
        <v>-333</v>
      </c>
      <c r="F49" t="s">
        <v>44</v>
      </c>
    </row>
    <row r="50" spans="4:6" x14ac:dyDescent="0.25">
      <c r="D50" s="2">
        <v>45539</v>
      </c>
      <c r="E50">
        <v>-360</v>
      </c>
      <c r="F50" t="s">
        <v>44</v>
      </c>
    </row>
    <row r="51" spans="4:6" x14ac:dyDescent="0.25">
      <c r="D51" s="2">
        <v>45539</v>
      </c>
      <c r="E51">
        <v>-179</v>
      </c>
      <c r="F51" t="s">
        <v>44</v>
      </c>
    </row>
    <row r="52" spans="4:6" x14ac:dyDescent="0.25">
      <c r="D52" s="2">
        <v>45539</v>
      </c>
      <c r="E52">
        <v>-197</v>
      </c>
      <c r="F52" t="s">
        <v>44</v>
      </c>
    </row>
    <row r="53" spans="4:6" x14ac:dyDescent="0.25">
      <c r="D53" s="2">
        <v>45539</v>
      </c>
      <c r="E53">
        <v>-433</v>
      </c>
      <c r="F53" t="s">
        <v>45</v>
      </c>
    </row>
    <row r="54" spans="4:6" x14ac:dyDescent="0.25">
      <c r="D54" s="2">
        <v>45539</v>
      </c>
      <c r="E54">
        <v>-433</v>
      </c>
      <c r="F54" t="s">
        <v>45</v>
      </c>
    </row>
    <row r="55" spans="4:6" x14ac:dyDescent="0.25">
      <c r="D55" s="2">
        <v>45539</v>
      </c>
      <c r="E55">
        <v>54</v>
      </c>
      <c r="F55" t="s">
        <v>46</v>
      </c>
    </row>
    <row r="56" spans="4:6" x14ac:dyDescent="0.25">
      <c r="D56" s="2">
        <v>45539</v>
      </c>
      <c r="E56">
        <v>54</v>
      </c>
      <c r="F56" t="s">
        <v>46</v>
      </c>
    </row>
    <row r="57" spans="4:6" x14ac:dyDescent="0.25">
      <c r="D57" s="2">
        <v>45539</v>
      </c>
      <c r="E57">
        <v>-127</v>
      </c>
      <c r="F57" t="s">
        <v>46</v>
      </c>
    </row>
    <row r="58" spans="4:6" x14ac:dyDescent="0.25">
      <c r="D58" s="2">
        <v>45539</v>
      </c>
      <c r="E58">
        <v>108</v>
      </c>
      <c r="F58" t="s">
        <v>47</v>
      </c>
    </row>
    <row r="59" spans="4:6" x14ac:dyDescent="0.25">
      <c r="D59" s="2">
        <v>45539</v>
      </c>
      <c r="E59">
        <v>289</v>
      </c>
      <c r="F59" t="s">
        <v>47</v>
      </c>
    </row>
    <row r="60" spans="4:6" x14ac:dyDescent="0.25">
      <c r="D60" s="2">
        <v>45539</v>
      </c>
      <c r="E60">
        <v>114</v>
      </c>
      <c r="F60" t="s">
        <v>47</v>
      </c>
    </row>
    <row r="61" spans="4:6" x14ac:dyDescent="0.25">
      <c r="D61" s="2">
        <v>45539</v>
      </c>
      <c r="E61">
        <v>112</v>
      </c>
      <c r="F61" t="s">
        <v>47</v>
      </c>
    </row>
    <row r="62" spans="4:6" x14ac:dyDescent="0.25">
      <c r="D62" s="2">
        <v>45539</v>
      </c>
      <c r="E62">
        <v>-793</v>
      </c>
      <c r="F62" t="s">
        <v>49</v>
      </c>
    </row>
    <row r="63" spans="4:6" x14ac:dyDescent="0.25">
      <c r="D63" s="2">
        <v>45539</v>
      </c>
      <c r="E63">
        <v>-820</v>
      </c>
      <c r="F63" t="s">
        <v>49</v>
      </c>
    </row>
    <row r="64" spans="4:6" x14ac:dyDescent="0.25">
      <c r="D64" s="2">
        <v>45539</v>
      </c>
      <c r="E64">
        <v>-845</v>
      </c>
      <c r="F64" t="s">
        <v>49</v>
      </c>
    </row>
    <row r="65" spans="4:6" x14ac:dyDescent="0.25">
      <c r="D65" s="2">
        <v>45539</v>
      </c>
      <c r="E65">
        <v>-1673</v>
      </c>
      <c r="F65" t="s">
        <v>51</v>
      </c>
    </row>
    <row r="66" spans="4:6" x14ac:dyDescent="0.25">
      <c r="D66" s="2">
        <v>45539</v>
      </c>
      <c r="E66">
        <v>-1646</v>
      </c>
      <c r="F66" t="s">
        <v>51</v>
      </c>
    </row>
    <row r="67" spans="4:6" x14ac:dyDescent="0.25">
      <c r="D67" s="2">
        <v>45539</v>
      </c>
      <c r="E67">
        <v>-3046</v>
      </c>
      <c r="F67" t="s">
        <v>52</v>
      </c>
    </row>
    <row r="68" spans="4:6" x14ac:dyDescent="0.25">
      <c r="D68" s="2">
        <v>45539</v>
      </c>
      <c r="E68">
        <v>-3046</v>
      </c>
      <c r="F68" t="s">
        <v>52</v>
      </c>
    </row>
    <row r="69" spans="4:6" x14ac:dyDescent="0.25">
      <c r="D69" s="2">
        <v>45539</v>
      </c>
      <c r="E69">
        <v>-3739</v>
      </c>
      <c r="F69" t="s">
        <v>54</v>
      </c>
    </row>
    <row r="70" spans="4:6" x14ac:dyDescent="0.25">
      <c r="D70" s="2">
        <v>45539</v>
      </c>
      <c r="E70">
        <v>2496</v>
      </c>
      <c r="F70" t="s">
        <v>56</v>
      </c>
    </row>
    <row r="71" spans="4:6" x14ac:dyDescent="0.25">
      <c r="D71" s="2">
        <v>45539</v>
      </c>
      <c r="E71">
        <v>297</v>
      </c>
      <c r="F71" t="s">
        <v>58</v>
      </c>
    </row>
    <row r="72" spans="4:6" x14ac:dyDescent="0.25">
      <c r="D72" s="2">
        <v>45539</v>
      </c>
      <c r="E72">
        <v>73</v>
      </c>
      <c r="F72" t="s">
        <v>59</v>
      </c>
    </row>
    <row r="73" spans="4:6" x14ac:dyDescent="0.25">
      <c r="D73" s="2">
        <v>45539</v>
      </c>
      <c r="E73">
        <v>-850</v>
      </c>
      <c r="F73" t="s">
        <v>61</v>
      </c>
    </row>
    <row r="74" spans="4:6" x14ac:dyDescent="0.25">
      <c r="D74" s="2">
        <v>45539</v>
      </c>
      <c r="E74">
        <v>80</v>
      </c>
      <c r="F74" t="s">
        <v>62</v>
      </c>
    </row>
    <row r="75" spans="4:6" x14ac:dyDescent="0.25">
      <c r="D75" s="2">
        <v>45539</v>
      </c>
      <c r="E75">
        <v>440</v>
      </c>
      <c r="F75" t="s">
        <v>64</v>
      </c>
    </row>
    <row r="76" spans="4:6" x14ac:dyDescent="0.25">
      <c r="D76" s="2">
        <v>45539</v>
      </c>
      <c r="E76">
        <v>73</v>
      </c>
      <c r="F76" t="s">
        <v>65</v>
      </c>
    </row>
    <row r="77" spans="4:6" x14ac:dyDescent="0.25">
      <c r="D77" s="2">
        <v>45539</v>
      </c>
      <c r="E77">
        <v>-312</v>
      </c>
      <c r="F77" t="s">
        <v>67</v>
      </c>
    </row>
    <row r="78" spans="4:6" x14ac:dyDescent="0.25">
      <c r="D78" s="2">
        <v>45539</v>
      </c>
      <c r="E78">
        <v>-1839</v>
      </c>
      <c r="F7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1B07-6D1E-4FC4-8514-E9EEC876E093}">
  <dimension ref="A1:D72"/>
  <sheetViews>
    <sheetView tabSelected="1" topLeftCell="A70" workbookViewId="0">
      <selection activeCell="F73" sqref="F73"/>
    </sheetView>
  </sheetViews>
  <sheetFormatPr baseColWidth="10" defaultRowHeight="15" x14ac:dyDescent="0.25"/>
  <sheetData>
    <row r="1" spans="1:4" x14ac:dyDescent="0.25">
      <c r="A1" s="45" t="s">
        <v>6</v>
      </c>
      <c r="B1" s="45"/>
      <c r="C1" s="45"/>
      <c r="D1" s="45"/>
    </row>
    <row r="2" spans="1:4" x14ac:dyDescent="0.25">
      <c r="A2" s="4" t="s">
        <v>0</v>
      </c>
      <c r="B2" s="4" t="s">
        <v>5</v>
      </c>
      <c r="C2" s="4" t="s">
        <v>4</v>
      </c>
      <c r="D2" s="4" t="s">
        <v>3</v>
      </c>
    </row>
    <row r="3" spans="1:4" x14ac:dyDescent="0.25">
      <c r="A3" t="s">
        <v>177</v>
      </c>
      <c r="B3">
        <v>5</v>
      </c>
      <c r="C3">
        <v>0</v>
      </c>
      <c r="D3">
        <v>5</v>
      </c>
    </row>
    <row r="4" spans="1:4" x14ac:dyDescent="0.25">
      <c r="A4" t="s">
        <v>178</v>
      </c>
      <c r="B4">
        <v>25</v>
      </c>
      <c r="C4">
        <v>0</v>
      </c>
      <c r="D4">
        <v>25</v>
      </c>
    </row>
    <row r="5" spans="1:4" x14ac:dyDescent="0.25">
      <c r="A5" t="s">
        <v>71</v>
      </c>
      <c r="B5">
        <v>49</v>
      </c>
      <c r="C5">
        <v>0</v>
      </c>
      <c r="D5">
        <v>49</v>
      </c>
    </row>
    <row r="6" spans="1:4" x14ac:dyDescent="0.25">
      <c r="A6" t="s">
        <v>72</v>
      </c>
      <c r="B6">
        <v>80</v>
      </c>
      <c r="C6">
        <v>0</v>
      </c>
      <c r="D6">
        <v>80</v>
      </c>
    </row>
    <row r="7" spans="1:4" x14ac:dyDescent="0.25">
      <c r="A7" t="s">
        <v>73</v>
      </c>
      <c r="B7">
        <v>121</v>
      </c>
      <c r="C7">
        <v>0</v>
      </c>
      <c r="D7">
        <v>121</v>
      </c>
    </row>
    <row r="8" spans="1:4" x14ac:dyDescent="0.25">
      <c r="A8" t="s">
        <v>74</v>
      </c>
      <c r="B8">
        <v>237</v>
      </c>
      <c r="C8">
        <v>500</v>
      </c>
      <c r="D8">
        <v>737</v>
      </c>
    </row>
    <row r="9" spans="1:4" x14ac:dyDescent="0.25">
      <c r="A9" t="s">
        <v>75</v>
      </c>
      <c r="B9">
        <v>572</v>
      </c>
      <c r="C9">
        <v>2000</v>
      </c>
      <c r="D9">
        <v>2572</v>
      </c>
    </row>
    <row r="10" spans="1:4" x14ac:dyDescent="0.25">
      <c r="A10" t="s">
        <v>76</v>
      </c>
      <c r="B10">
        <v>3017</v>
      </c>
      <c r="C10">
        <v>2000</v>
      </c>
      <c r="D10">
        <v>5017</v>
      </c>
    </row>
    <row r="11" spans="1:4" x14ac:dyDescent="0.25">
      <c r="A11" t="s">
        <v>77</v>
      </c>
      <c r="B11">
        <v>3908</v>
      </c>
      <c r="C11">
        <v>2000</v>
      </c>
      <c r="D11">
        <v>5908</v>
      </c>
    </row>
    <row r="12" spans="1:4" x14ac:dyDescent="0.25">
      <c r="A12" t="s">
        <v>78</v>
      </c>
      <c r="B12">
        <v>2201</v>
      </c>
      <c r="C12">
        <v>4000</v>
      </c>
      <c r="D12">
        <v>6201</v>
      </c>
    </row>
    <row r="13" spans="1:4" x14ac:dyDescent="0.25">
      <c r="A13" t="s">
        <v>79</v>
      </c>
      <c r="B13">
        <v>4600</v>
      </c>
      <c r="C13">
        <v>6500</v>
      </c>
      <c r="D13">
        <v>11100</v>
      </c>
    </row>
    <row r="14" spans="1:4" x14ac:dyDescent="0.25">
      <c r="A14" t="s">
        <v>80</v>
      </c>
      <c r="B14">
        <v>4848</v>
      </c>
      <c r="C14">
        <v>6500</v>
      </c>
      <c r="D14">
        <v>11348</v>
      </c>
    </row>
    <row r="15" spans="1:4" x14ac:dyDescent="0.25">
      <c r="A15" t="s">
        <v>81</v>
      </c>
      <c r="B15">
        <v>4958</v>
      </c>
      <c r="C15">
        <v>6500</v>
      </c>
      <c r="D15">
        <v>11458</v>
      </c>
    </row>
    <row r="16" spans="1:4" x14ac:dyDescent="0.25">
      <c r="A16" t="s">
        <v>82</v>
      </c>
      <c r="B16">
        <v>5685</v>
      </c>
      <c r="C16">
        <v>11500</v>
      </c>
      <c r="D16">
        <v>17185</v>
      </c>
    </row>
    <row r="17" spans="1:4" x14ac:dyDescent="0.25">
      <c r="A17" t="s">
        <v>83</v>
      </c>
      <c r="B17">
        <v>5742</v>
      </c>
      <c r="C17">
        <v>11500</v>
      </c>
      <c r="D17">
        <v>17242</v>
      </c>
    </row>
    <row r="18" spans="1:4" x14ac:dyDescent="0.25">
      <c r="A18" t="s">
        <v>84</v>
      </c>
      <c r="B18">
        <v>5934</v>
      </c>
      <c r="C18">
        <v>11500</v>
      </c>
      <c r="D18">
        <v>17434</v>
      </c>
    </row>
    <row r="19" spans="1:4" x14ac:dyDescent="0.25">
      <c r="A19" t="s">
        <v>85</v>
      </c>
      <c r="B19">
        <v>6074</v>
      </c>
      <c r="C19">
        <v>11500</v>
      </c>
      <c r="D19">
        <v>17574</v>
      </c>
    </row>
    <row r="20" spans="1:4" x14ac:dyDescent="0.25">
      <c r="A20" t="s">
        <v>86</v>
      </c>
      <c r="B20">
        <v>6131</v>
      </c>
      <c r="C20">
        <v>11500</v>
      </c>
      <c r="D20">
        <v>17631</v>
      </c>
    </row>
    <row r="21" spans="1:4" x14ac:dyDescent="0.25">
      <c r="A21" t="s">
        <v>87</v>
      </c>
      <c r="B21">
        <v>6077</v>
      </c>
      <c r="C21">
        <v>11500</v>
      </c>
      <c r="D21">
        <v>17577</v>
      </c>
    </row>
    <row r="22" spans="1:4" x14ac:dyDescent="0.25">
      <c r="A22" t="s">
        <v>88</v>
      </c>
      <c r="B22">
        <v>5892</v>
      </c>
      <c r="C22">
        <v>11500</v>
      </c>
      <c r="D22">
        <v>17392</v>
      </c>
    </row>
    <row r="23" spans="1:4" x14ac:dyDescent="0.25">
      <c r="A23" t="s">
        <v>89</v>
      </c>
      <c r="B23">
        <v>5879</v>
      </c>
      <c r="C23">
        <v>11500</v>
      </c>
      <c r="D23">
        <v>17379</v>
      </c>
    </row>
    <row r="24" spans="1:4" x14ac:dyDescent="0.25">
      <c r="A24" t="s">
        <v>90</v>
      </c>
      <c r="B24">
        <v>5764</v>
      </c>
      <c r="C24">
        <v>11500</v>
      </c>
      <c r="D24">
        <v>17264</v>
      </c>
    </row>
    <row r="25" spans="1:4" x14ac:dyDescent="0.25">
      <c r="A25" t="s">
        <v>91</v>
      </c>
      <c r="B25">
        <v>5476</v>
      </c>
      <c r="C25">
        <v>11500</v>
      </c>
      <c r="D25">
        <v>16976</v>
      </c>
    </row>
    <row r="26" spans="1:4" x14ac:dyDescent="0.25">
      <c r="A26" t="s">
        <v>92</v>
      </c>
      <c r="B26">
        <v>5956</v>
      </c>
      <c r="C26">
        <v>11500</v>
      </c>
      <c r="D26">
        <v>17456</v>
      </c>
    </row>
    <row r="27" spans="1:4" x14ac:dyDescent="0.25">
      <c r="A27" t="s">
        <v>93</v>
      </c>
      <c r="B27">
        <v>5789</v>
      </c>
      <c r="C27">
        <v>11500</v>
      </c>
      <c r="D27">
        <v>17289</v>
      </c>
    </row>
    <row r="28" spans="1:4" x14ac:dyDescent="0.25">
      <c r="A28" t="s">
        <v>94</v>
      </c>
      <c r="B28">
        <v>6249</v>
      </c>
      <c r="C28">
        <v>11500</v>
      </c>
      <c r="D28">
        <v>17749</v>
      </c>
    </row>
    <row r="29" spans="1:4" x14ac:dyDescent="0.25">
      <c r="A29" t="s">
        <v>95</v>
      </c>
      <c r="B29">
        <v>6225</v>
      </c>
      <c r="C29">
        <v>11500</v>
      </c>
      <c r="D29">
        <v>17725</v>
      </c>
    </row>
    <row r="30" spans="1:4" x14ac:dyDescent="0.25">
      <c r="A30" t="s">
        <v>96</v>
      </c>
      <c r="B30">
        <v>6354</v>
      </c>
      <c r="C30">
        <v>11500</v>
      </c>
      <c r="D30">
        <v>17854</v>
      </c>
    </row>
    <row r="31" spans="1:4" x14ac:dyDescent="0.25">
      <c r="A31" t="s">
        <v>97</v>
      </c>
      <c r="B31">
        <v>6439</v>
      </c>
      <c r="C31">
        <v>11500</v>
      </c>
      <c r="D31">
        <v>17939</v>
      </c>
    </row>
    <row r="32" spans="1:4" x14ac:dyDescent="0.25">
      <c r="A32" t="s">
        <v>36</v>
      </c>
      <c r="B32">
        <v>6539</v>
      </c>
      <c r="C32">
        <v>11500</v>
      </c>
      <c r="D32">
        <v>18039</v>
      </c>
    </row>
    <row r="33" spans="1:4" x14ac:dyDescent="0.25">
      <c r="A33" t="s">
        <v>37</v>
      </c>
      <c r="B33">
        <v>6394</v>
      </c>
      <c r="C33">
        <v>11500</v>
      </c>
      <c r="D33">
        <v>17894</v>
      </c>
    </row>
    <row r="34" spans="1:4" x14ac:dyDescent="0.25">
      <c r="A34" t="s">
        <v>38</v>
      </c>
      <c r="B34">
        <v>6506</v>
      </c>
      <c r="C34">
        <v>11500</v>
      </c>
      <c r="D34">
        <v>18006</v>
      </c>
    </row>
    <row r="35" spans="1:4" x14ac:dyDescent="0.25">
      <c r="A35" t="s">
        <v>39</v>
      </c>
      <c r="B35">
        <v>6429</v>
      </c>
      <c r="C35">
        <v>11500</v>
      </c>
      <c r="D35">
        <v>17929</v>
      </c>
    </row>
    <row r="36" spans="1:4" x14ac:dyDescent="0.25">
      <c r="A36" t="s">
        <v>40</v>
      </c>
      <c r="B36">
        <v>6183</v>
      </c>
      <c r="C36">
        <v>11500</v>
      </c>
      <c r="D36">
        <v>17683</v>
      </c>
    </row>
    <row r="37" spans="1:4" x14ac:dyDescent="0.25">
      <c r="A37" t="s">
        <v>41</v>
      </c>
      <c r="B37">
        <v>6591</v>
      </c>
      <c r="C37">
        <v>11500</v>
      </c>
      <c r="D37">
        <v>18091</v>
      </c>
    </row>
    <row r="38" spans="1:4" x14ac:dyDescent="0.25">
      <c r="A38" t="s">
        <v>42</v>
      </c>
      <c r="B38">
        <v>7015</v>
      </c>
      <c r="C38">
        <v>11000</v>
      </c>
      <c r="D38">
        <v>18015</v>
      </c>
    </row>
    <row r="39" spans="1:4" x14ac:dyDescent="0.25">
      <c r="A39" t="s">
        <v>43</v>
      </c>
      <c r="B39">
        <v>8314</v>
      </c>
      <c r="C39">
        <v>9500</v>
      </c>
      <c r="D39">
        <v>17814</v>
      </c>
    </row>
    <row r="41" spans="1:4" x14ac:dyDescent="0.25">
      <c r="A41" s="45" t="s">
        <v>7</v>
      </c>
      <c r="B41" s="45"/>
      <c r="C41" s="45"/>
      <c r="D41" s="45"/>
    </row>
    <row r="42" spans="1:4" x14ac:dyDescent="0.25">
      <c r="A42" s="4" t="s">
        <v>0</v>
      </c>
      <c r="B42" s="4" t="s">
        <v>5</v>
      </c>
      <c r="C42" s="4" t="s">
        <v>4</v>
      </c>
      <c r="D42" s="4" t="s">
        <v>3</v>
      </c>
    </row>
    <row r="43" spans="1:4" x14ac:dyDescent="0.25">
      <c r="A43" s="1">
        <v>0.60416666666666663</v>
      </c>
      <c r="B43">
        <v>8079</v>
      </c>
      <c r="C43">
        <v>9500</v>
      </c>
      <c r="D43">
        <v>17579</v>
      </c>
    </row>
    <row r="44" spans="1:4" x14ac:dyDescent="0.25">
      <c r="A44" t="s">
        <v>45</v>
      </c>
      <c r="B44">
        <v>7957</v>
      </c>
      <c r="C44">
        <v>9500</v>
      </c>
      <c r="D44">
        <v>17457</v>
      </c>
    </row>
    <row r="45" spans="1:4" x14ac:dyDescent="0.25">
      <c r="A45" t="s">
        <v>46</v>
      </c>
      <c r="B45">
        <v>8007</v>
      </c>
      <c r="C45">
        <v>9500</v>
      </c>
      <c r="D45">
        <v>17507</v>
      </c>
    </row>
    <row r="46" spans="1:4" x14ac:dyDescent="0.25">
      <c r="A46" t="s">
        <v>47</v>
      </c>
      <c r="B46">
        <v>8079</v>
      </c>
      <c r="C46">
        <v>9500</v>
      </c>
      <c r="D46">
        <v>17579</v>
      </c>
    </row>
    <row r="47" spans="1:4" x14ac:dyDescent="0.25">
      <c r="A47" t="s">
        <v>48</v>
      </c>
      <c r="B47">
        <v>7980</v>
      </c>
      <c r="C47">
        <v>9500</v>
      </c>
      <c r="D47">
        <v>17480</v>
      </c>
    </row>
    <row r="48" spans="1:4" x14ac:dyDescent="0.25">
      <c r="A48" t="s">
        <v>49</v>
      </c>
      <c r="B48">
        <v>7234</v>
      </c>
      <c r="C48">
        <v>9500</v>
      </c>
      <c r="D48">
        <v>16734</v>
      </c>
    </row>
    <row r="49" spans="1:4" x14ac:dyDescent="0.25">
      <c r="A49" t="s">
        <v>50</v>
      </c>
      <c r="B49">
        <v>5393</v>
      </c>
      <c r="C49">
        <v>9500</v>
      </c>
      <c r="D49">
        <v>14893</v>
      </c>
    </row>
    <row r="50" spans="1:4" x14ac:dyDescent="0.25">
      <c r="A50" t="s">
        <v>51</v>
      </c>
      <c r="B50">
        <v>2672</v>
      </c>
      <c r="C50">
        <v>9500</v>
      </c>
      <c r="D50">
        <v>12172</v>
      </c>
    </row>
    <row r="51" spans="1:4" x14ac:dyDescent="0.25">
      <c r="A51" t="s">
        <v>52</v>
      </c>
      <c r="B51">
        <v>2538</v>
      </c>
      <c r="C51">
        <v>9500</v>
      </c>
      <c r="D51">
        <v>12038</v>
      </c>
    </row>
    <row r="52" spans="1:4" x14ac:dyDescent="0.25">
      <c r="A52" t="s">
        <v>53</v>
      </c>
      <c r="B52">
        <v>2648</v>
      </c>
      <c r="C52">
        <v>9500</v>
      </c>
      <c r="D52">
        <v>12148</v>
      </c>
    </row>
    <row r="53" spans="1:4" x14ac:dyDescent="0.25">
      <c r="A53" t="s">
        <v>54</v>
      </c>
      <c r="B53">
        <v>2704</v>
      </c>
      <c r="C53">
        <v>5000</v>
      </c>
      <c r="D53">
        <v>7704</v>
      </c>
    </row>
    <row r="54" spans="1:4" x14ac:dyDescent="0.25">
      <c r="A54" t="s">
        <v>55</v>
      </c>
      <c r="B54">
        <v>5087</v>
      </c>
      <c r="C54">
        <v>6000</v>
      </c>
      <c r="D54">
        <v>11087</v>
      </c>
    </row>
    <row r="55" spans="1:4" x14ac:dyDescent="0.25">
      <c r="A55" t="s">
        <v>56</v>
      </c>
      <c r="B55">
        <v>4125</v>
      </c>
      <c r="C55">
        <v>6000</v>
      </c>
      <c r="D55">
        <v>10125</v>
      </c>
    </row>
    <row r="56" spans="1:4" x14ac:dyDescent="0.25">
      <c r="A56" t="s">
        <v>57</v>
      </c>
      <c r="B56">
        <v>5074</v>
      </c>
      <c r="C56">
        <v>6000</v>
      </c>
      <c r="D56">
        <v>11074</v>
      </c>
    </row>
    <row r="57" spans="1:4" x14ac:dyDescent="0.25">
      <c r="A57" t="s">
        <v>58</v>
      </c>
      <c r="B57">
        <v>4636</v>
      </c>
      <c r="C57">
        <v>6000</v>
      </c>
      <c r="D57">
        <v>10636</v>
      </c>
    </row>
    <row r="58" spans="1:4" x14ac:dyDescent="0.25">
      <c r="A58" t="s">
        <v>59</v>
      </c>
      <c r="B58">
        <v>5133</v>
      </c>
      <c r="C58">
        <v>6000</v>
      </c>
      <c r="D58">
        <v>11133</v>
      </c>
    </row>
    <row r="59" spans="1:4" x14ac:dyDescent="0.25">
      <c r="A59" t="s">
        <v>60</v>
      </c>
      <c r="B59">
        <v>4163</v>
      </c>
      <c r="C59">
        <v>6000</v>
      </c>
      <c r="D59">
        <v>10163</v>
      </c>
    </row>
    <row r="60" spans="1:4" x14ac:dyDescent="0.25">
      <c r="A60" t="s">
        <v>61</v>
      </c>
      <c r="B60">
        <v>5053</v>
      </c>
      <c r="C60">
        <v>6000</v>
      </c>
      <c r="D60">
        <v>11053</v>
      </c>
    </row>
    <row r="61" spans="1:4" x14ac:dyDescent="0.25">
      <c r="A61" t="s">
        <v>62</v>
      </c>
      <c r="B61">
        <v>4363</v>
      </c>
      <c r="C61">
        <v>6000</v>
      </c>
      <c r="D61">
        <v>10363</v>
      </c>
    </row>
    <row r="62" spans="1:4" x14ac:dyDescent="0.25">
      <c r="A62" t="s">
        <v>63</v>
      </c>
      <c r="B62">
        <v>5010</v>
      </c>
      <c r="C62">
        <v>6000</v>
      </c>
      <c r="D62">
        <v>11010</v>
      </c>
    </row>
    <row r="63" spans="1:4" x14ac:dyDescent="0.25">
      <c r="A63" t="s">
        <v>64</v>
      </c>
      <c r="B63">
        <v>4213</v>
      </c>
      <c r="C63">
        <v>6000</v>
      </c>
      <c r="D63">
        <v>10213</v>
      </c>
    </row>
    <row r="64" spans="1:4" x14ac:dyDescent="0.25">
      <c r="A64" t="s">
        <v>65</v>
      </c>
      <c r="B64">
        <v>4800</v>
      </c>
      <c r="C64">
        <v>6000</v>
      </c>
      <c r="D64">
        <v>10800</v>
      </c>
    </row>
    <row r="65" spans="1:4" x14ac:dyDescent="0.25">
      <c r="A65" t="s">
        <v>66</v>
      </c>
      <c r="B65">
        <v>4193</v>
      </c>
      <c r="C65">
        <v>6000</v>
      </c>
      <c r="D65">
        <v>10193</v>
      </c>
    </row>
    <row r="66" spans="1:4" x14ac:dyDescent="0.25">
      <c r="A66" t="s">
        <v>67</v>
      </c>
      <c r="B66">
        <v>4827</v>
      </c>
      <c r="C66">
        <v>6000</v>
      </c>
      <c r="D66">
        <v>10827</v>
      </c>
    </row>
    <row r="67" spans="1:4" x14ac:dyDescent="0.25">
      <c r="A67" t="s">
        <v>68</v>
      </c>
      <c r="B67">
        <v>3659</v>
      </c>
      <c r="C67">
        <v>6000</v>
      </c>
      <c r="D67">
        <v>9659</v>
      </c>
    </row>
    <row r="68" spans="1:4" x14ac:dyDescent="0.25">
      <c r="A68" t="s">
        <v>69</v>
      </c>
      <c r="B68">
        <v>2028</v>
      </c>
      <c r="C68">
        <v>6000</v>
      </c>
      <c r="D68">
        <v>8028</v>
      </c>
    </row>
    <row r="70" spans="1:4" x14ac:dyDescent="0.25">
      <c r="A70" s="45" t="s">
        <v>8</v>
      </c>
      <c r="B70" s="45"/>
      <c r="C70" s="45"/>
      <c r="D70" s="45"/>
    </row>
    <row r="71" spans="1:4" x14ac:dyDescent="0.25">
      <c r="A71" s="4" t="s">
        <v>0</v>
      </c>
      <c r="B71" s="4" t="s">
        <v>5</v>
      </c>
      <c r="C71" s="4" t="s">
        <v>4</v>
      </c>
      <c r="D71" s="4" t="s">
        <v>3</v>
      </c>
    </row>
    <row r="72" spans="1:4" x14ac:dyDescent="0.25">
      <c r="A72" s="1">
        <v>0.4826388888888889</v>
      </c>
      <c r="B72">
        <v>8089</v>
      </c>
      <c r="C72">
        <v>9100</v>
      </c>
      <c r="D72">
        <v>17679</v>
      </c>
    </row>
  </sheetData>
  <mergeCells count="3">
    <mergeCell ref="A1:D1"/>
    <mergeCell ref="A41:D41"/>
    <mergeCell ref="A70:D7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743A-1FC5-4CEF-9EC2-3A271AC286BF}">
  <dimension ref="A1:H58"/>
  <sheetViews>
    <sheetView topLeftCell="A16" workbookViewId="0">
      <selection activeCell="F33" sqref="F33:H34"/>
    </sheetView>
  </sheetViews>
  <sheetFormatPr baseColWidth="10" defaultRowHeight="15" x14ac:dyDescent="0.25"/>
  <sheetData>
    <row r="1" spans="1:8" x14ac:dyDescent="0.25">
      <c r="A1" s="45" t="s">
        <v>6</v>
      </c>
      <c r="B1" s="45"/>
      <c r="C1" s="45"/>
      <c r="D1" s="45"/>
    </row>
    <row r="2" spans="1:8" x14ac:dyDescent="0.25">
      <c r="A2" s="4" t="s">
        <v>0</v>
      </c>
      <c r="B2" s="4" t="s">
        <v>5</v>
      </c>
      <c r="C2" s="4" t="s">
        <v>4</v>
      </c>
      <c r="D2" s="4" t="s">
        <v>3</v>
      </c>
      <c r="F2" s="5" t="s">
        <v>98</v>
      </c>
      <c r="G2" s="5" t="s">
        <v>99</v>
      </c>
      <c r="H2" s="5" t="s">
        <v>100</v>
      </c>
    </row>
    <row r="3" spans="1:8" x14ac:dyDescent="0.25">
      <c r="A3" s="1">
        <v>0.47916666666666669</v>
      </c>
      <c r="B3">
        <f>D3-C3</f>
        <v>21</v>
      </c>
      <c r="C3">
        <v>0</v>
      </c>
      <c r="D3">
        <v>21</v>
      </c>
      <c r="F3" s="6">
        <f>AVERAGE(B9:B29)</f>
        <v>3752.8571428571427</v>
      </c>
      <c r="G3" s="6">
        <f>AVERAGE(D9:D29)</f>
        <v>14824.285714285714</v>
      </c>
      <c r="H3" s="7">
        <f>CC!K22+CC!K21+CC!K20+CC!K19+CC!K18+CC!K17+CC!K16+(CC!K15/2)+CC!K14+CC!K13</f>
        <v>495.58000000000004</v>
      </c>
    </row>
    <row r="4" spans="1:8" x14ac:dyDescent="0.25">
      <c r="A4" s="1">
        <v>0.4826388888888889</v>
      </c>
      <c r="B4">
        <f t="shared" ref="B4:B29" si="0">D4-C4</f>
        <v>68</v>
      </c>
      <c r="C4">
        <v>0</v>
      </c>
      <c r="D4">
        <v>68</v>
      </c>
    </row>
    <row r="5" spans="1:8" x14ac:dyDescent="0.25">
      <c r="A5" s="1">
        <v>0.4861111111111111</v>
      </c>
      <c r="B5">
        <f t="shared" si="0"/>
        <v>151</v>
      </c>
      <c r="C5">
        <v>500</v>
      </c>
      <c r="D5">
        <v>651</v>
      </c>
    </row>
    <row r="6" spans="1:8" x14ac:dyDescent="0.25">
      <c r="A6" s="1">
        <v>0.48958333333333331</v>
      </c>
      <c r="B6">
        <f t="shared" si="0"/>
        <v>301</v>
      </c>
      <c r="C6">
        <v>1500</v>
      </c>
      <c r="D6">
        <v>1801</v>
      </c>
    </row>
    <row r="7" spans="1:8" x14ac:dyDescent="0.25">
      <c r="A7" s="1">
        <v>0.49305555555555558</v>
      </c>
      <c r="B7">
        <f t="shared" si="0"/>
        <v>384</v>
      </c>
      <c r="C7">
        <v>1500</v>
      </c>
      <c r="D7">
        <v>1884</v>
      </c>
    </row>
    <row r="8" spans="1:8" x14ac:dyDescent="0.25">
      <c r="A8" s="1">
        <v>0.49652777777777773</v>
      </c>
      <c r="B8">
        <f t="shared" si="0"/>
        <v>391</v>
      </c>
      <c r="C8">
        <v>1500</v>
      </c>
      <c r="D8">
        <v>1891</v>
      </c>
    </row>
    <row r="9" spans="1:8" x14ac:dyDescent="0.25">
      <c r="A9" s="1">
        <v>0.5</v>
      </c>
      <c r="B9">
        <f t="shared" si="0"/>
        <v>3232</v>
      </c>
      <c r="C9">
        <v>1500</v>
      </c>
      <c r="D9">
        <v>4732</v>
      </c>
    </row>
    <row r="10" spans="1:8" x14ac:dyDescent="0.25">
      <c r="A10" s="1">
        <v>0.50347222222222221</v>
      </c>
      <c r="B10">
        <f t="shared" si="0"/>
        <v>3782</v>
      </c>
      <c r="C10">
        <v>1500</v>
      </c>
      <c r="D10">
        <v>5282</v>
      </c>
    </row>
    <row r="11" spans="1:8" x14ac:dyDescent="0.25">
      <c r="A11" s="1">
        <v>0.50694444444444442</v>
      </c>
      <c r="B11">
        <f t="shared" si="0"/>
        <v>4005</v>
      </c>
      <c r="C11">
        <v>1500</v>
      </c>
      <c r="D11">
        <v>5505</v>
      </c>
    </row>
    <row r="12" spans="1:8" x14ac:dyDescent="0.25">
      <c r="A12" s="1">
        <v>0.51041666666666663</v>
      </c>
      <c r="B12">
        <f t="shared" si="0"/>
        <v>3411</v>
      </c>
      <c r="C12">
        <v>4000</v>
      </c>
      <c r="D12">
        <v>7411</v>
      </c>
    </row>
    <row r="13" spans="1:8" x14ac:dyDescent="0.25">
      <c r="A13" s="1">
        <v>0.51388888888888895</v>
      </c>
      <c r="B13">
        <f t="shared" si="0"/>
        <v>2369</v>
      </c>
      <c r="C13">
        <v>10500</v>
      </c>
      <c r="D13">
        <v>12869</v>
      </c>
    </row>
    <row r="14" spans="1:8" x14ac:dyDescent="0.25">
      <c r="A14" s="1">
        <v>0.51736111111111105</v>
      </c>
      <c r="B14">
        <f t="shared" si="0"/>
        <v>2541</v>
      </c>
      <c r="C14">
        <v>10500</v>
      </c>
      <c r="D14">
        <v>13041</v>
      </c>
    </row>
    <row r="15" spans="1:8" x14ac:dyDescent="0.25">
      <c r="A15" s="1">
        <v>0.52083333333333337</v>
      </c>
      <c r="B15">
        <f t="shared" si="0"/>
        <v>3885</v>
      </c>
      <c r="C15">
        <v>10500</v>
      </c>
      <c r="D15">
        <v>14385</v>
      </c>
    </row>
    <row r="16" spans="1:8" x14ac:dyDescent="0.25">
      <c r="A16" s="1">
        <v>0.52430555555555558</v>
      </c>
      <c r="B16">
        <f t="shared" si="0"/>
        <v>3396</v>
      </c>
      <c r="C16">
        <v>14500</v>
      </c>
      <c r="D16">
        <v>17896</v>
      </c>
    </row>
    <row r="17" spans="1:4" x14ac:dyDescent="0.25">
      <c r="A17" s="1">
        <v>0.52777777777777779</v>
      </c>
      <c r="B17">
        <f t="shared" si="0"/>
        <v>3506</v>
      </c>
      <c r="C17">
        <v>14500</v>
      </c>
      <c r="D17">
        <v>18006</v>
      </c>
    </row>
    <row r="18" spans="1:4" x14ac:dyDescent="0.25">
      <c r="A18" s="1">
        <v>0.53125</v>
      </c>
      <c r="B18">
        <f t="shared" si="0"/>
        <v>3550</v>
      </c>
      <c r="C18">
        <v>14000</v>
      </c>
      <c r="D18">
        <v>17550</v>
      </c>
    </row>
    <row r="19" spans="1:4" x14ac:dyDescent="0.25">
      <c r="A19" s="1">
        <v>0.53472222222222221</v>
      </c>
      <c r="B19">
        <f t="shared" si="0"/>
        <v>3643</v>
      </c>
      <c r="C19">
        <v>14000</v>
      </c>
      <c r="D19">
        <v>17643</v>
      </c>
    </row>
    <row r="20" spans="1:4" x14ac:dyDescent="0.25">
      <c r="A20" s="1">
        <v>0.53819444444444442</v>
      </c>
      <c r="B20">
        <f t="shared" si="0"/>
        <v>3614</v>
      </c>
      <c r="C20">
        <v>14000</v>
      </c>
      <c r="D20">
        <v>17614</v>
      </c>
    </row>
    <row r="21" spans="1:4" x14ac:dyDescent="0.25">
      <c r="A21" s="1">
        <v>0.54513888888888895</v>
      </c>
      <c r="B21">
        <f t="shared" si="0"/>
        <v>4023</v>
      </c>
      <c r="C21">
        <v>14000</v>
      </c>
      <c r="D21">
        <v>18023</v>
      </c>
    </row>
    <row r="22" spans="1:4" x14ac:dyDescent="0.25">
      <c r="A22" s="1">
        <v>0.54861111111111105</v>
      </c>
      <c r="B22">
        <f t="shared" si="0"/>
        <v>4156</v>
      </c>
      <c r="C22">
        <v>14000</v>
      </c>
      <c r="D22">
        <v>18156</v>
      </c>
    </row>
    <row r="23" spans="1:4" x14ac:dyDescent="0.25">
      <c r="A23" s="1">
        <v>0.55208333333333337</v>
      </c>
      <c r="B23">
        <f t="shared" si="0"/>
        <v>4095</v>
      </c>
      <c r="C23">
        <v>14000</v>
      </c>
      <c r="D23">
        <v>18095</v>
      </c>
    </row>
    <row r="24" spans="1:4" x14ac:dyDescent="0.25">
      <c r="A24" s="1">
        <v>0.55555555555555558</v>
      </c>
      <c r="B24">
        <f t="shared" si="0"/>
        <v>4205</v>
      </c>
      <c r="C24">
        <v>14000</v>
      </c>
      <c r="D24">
        <v>18205</v>
      </c>
    </row>
    <row r="25" spans="1:4" x14ac:dyDescent="0.25">
      <c r="A25" s="1">
        <v>0.55902777777777779</v>
      </c>
      <c r="B25">
        <f t="shared" si="0"/>
        <v>4343</v>
      </c>
      <c r="C25">
        <v>14000</v>
      </c>
      <c r="D25">
        <v>18343</v>
      </c>
    </row>
    <row r="26" spans="1:4" x14ac:dyDescent="0.25">
      <c r="A26" s="1">
        <v>0.5625</v>
      </c>
      <c r="B26">
        <f t="shared" si="0"/>
        <v>4321</v>
      </c>
      <c r="C26">
        <v>14000</v>
      </c>
      <c r="D26">
        <v>18321</v>
      </c>
    </row>
    <row r="27" spans="1:4" x14ac:dyDescent="0.25">
      <c r="A27" s="1">
        <v>0.56597222222222221</v>
      </c>
      <c r="B27">
        <f t="shared" si="0"/>
        <v>4425</v>
      </c>
      <c r="C27">
        <v>14000</v>
      </c>
      <c r="D27">
        <v>18425</v>
      </c>
    </row>
    <row r="28" spans="1:4" x14ac:dyDescent="0.25">
      <c r="A28" s="1">
        <v>0.56944444444444442</v>
      </c>
      <c r="B28">
        <f t="shared" si="0"/>
        <v>5530</v>
      </c>
      <c r="C28">
        <v>13000</v>
      </c>
      <c r="D28">
        <v>18530</v>
      </c>
    </row>
    <row r="29" spans="1:4" x14ac:dyDescent="0.25">
      <c r="A29" s="1">
        <v>0.60069444444444442</v>
      </c>
      <c r="B29">
        <f t="shared" si="0"/>
        <v>2778</v>
      </c>
      <c r="C29">
        <v>10500</v>
      </c>
      <c r="D29">
        <v>13278</v>
      </c>
    </row>
    <row r="30" spans="1:4" x14ac:dyDescent="0.25">
      <c r="A30" s="1"/>
    </row>
    <row r="31" spans="1:4" x14ac:dyDescent="0.25">
      <c r="A31" s="1"/>
    </row>
    <row r="32" spans="1:4" x14ac:dyDescent="0.25">
      <c r="A32" s="45" t="s">
        <v>7</v>
      </c>
      <c r="B32" s="45"/>
      <c r="C32" s="45"/>
      <c r="D32" s="45"/>
    </row>
    <row r="33" spans="1:8" x14ac:dyDescent="0.25">
      <c r="A33" s="4" t="s">
        <v>0</v>
      </c>
      <c r="B33" s="4" t="s">
        <v>5</v>
      </c>
      <c r="C33" s="4" t="s">
        <v>4</v>
      </c>
      <c r="D33" s="4" t="s">
        <v>3</v>
      </c>
      <c r="F33" s="5" t="s">
        <v>98</v>
      </c>
      <c r="G33" s="5" t="s">
        <v>99</v>
      </c>
      <c r="H33" s="5" t="s">
        <v>100</v>
      </c>
    </row>
    <row r="34" spans="1:8" x14ac:dyDescent="0.25">
      <c r="A34" s="1">
        <v>0.60416666666666663</v>
      </c>
      <c r="B34">
        <f t="shared" ref="B34:B58" si="1">D34-C34</f>
        <v>2417</v>
      </c>
      <c r="C34">
        <v>11600</v>
      </c>
      <c r="D34">
        <v>14017</v>
      </c>
      <c r="F34" s="6">
        <f>AVERAGE(B34:B58)</f>
        <v>3024.04</v>
      </c>
      <c r="G34" s="6">
        <f>AVERAGE(D34:D58)</f>
        <v>9764.0400000000009</v>
      </c>
      <c r="H34" s="7">
        <f>(CC!K46/2)+CC!K12+CC!K11</f>
        <v>45.204999999999998</v>
      </c>
    </row>
    <row r="35" spans="1:8" x14ac:dyDescent="0.25">
      <c r="A35" s="1">
        <v>0.60763888888888895</v>
      </c>
      <c r="B35">
        <f t="shared" si="1"/>
        <v>2320</v>
      </c>
      <c r="C35">
        <v>11600</v>
      </c>
      <c r="D35">
        <v>13920</v>
      </c>
    </row>
    <row r="36" spans="1:8" x14ac:dyDescent="0.25">
      <c r="A36" s="1">
        <v>0.61111111111111105</v>
      </c>
      <c r="B36">
        <f t="shared" si="1"/>
        <v>2327</v>
      </c>
      <c r="C36">
        <v>11600</v>
      </c>
      <c r="D36">
        <v>13927</v>
      </c>
    </row>
    <row r="37" spans="1:8" x14ac:dyDescent="0.25">
      <c r="A37" s="1">
        <v>0.61458333333333337</v>
      </c>
      <c r="B37">
        <f t="shared" si="1"/>
        <v>2370</v>
      </c>
      <c r="C37">
        <v>11600</v>
      </c>
      <c r="D37">
        <v>13970</v>
      </c>
    </row>
    <row r="38" spans="1:8" x14ac:dyDescent="0.25">
      <c r="A38" s="1">
        <v>0.61805555555555558</v>
      </c>
      <c r="B38">
        <f t="shared" si="1"/>
        <v>6215</v>
      </c>
      <c r="C38">
        <v>6600</v>
      </c>
      <c r="D38">
        <v>12815</v>
      </c>
    </row>
    <row r="39" spans="1:8" x14ac:dyDescent="0.25">
      <c r="A39" s="1">
        <v>0.62152777777777779</v>
      </c>
      <c r="B39">
        <f t="shared" si="1"/>
        <v>6107</v>
      </c>
      <c r="C39">
        <v>6600</v>
      </c>
      <c r="D39">
        <v>12707</v>
      </c>
    </row>
    <row r="40" spans="1:8" x14ac:dyDescent="0.25">
      <c r="A40" s="1">
        <v>0.625</v>
      </c>
      <c r="B40">
        <f t="shared" si="1"/>
        <v>4961</v>
      </c>
      <c r="C40">
        <v>5100</v>
      </c>
      <c r="D40">
        <v>10061</v>
      </c>
    </row>
    <row r="41" spans="1:8" x14ac:dyDescent="0.25">
      <c r="A41" s="1">
        <v>0.62847222222222221</v>
      </c>
      <c r="B41">
        <f t="shared" si="1"/>
        <v>4630</v>
      </c>
      <c r="C41">
        <v>5100</v>
      </c>
      <c r="D41">
        <v>9730</v>
      </c>
    </row>
    <row r="42" spans="1:8" x14ac:dyDescent="0.25">
      <c r="A42" s="1">
        <v>0.63194444444444442</v>
      </c>
      <c r="B42">
        <f t="shared" si="1"/>
        <v>4623</v>
      </c>
      <c r="C42">
        <v>5100</v>
      </c>
      <c r="D42">
        <v>9723</v>
      </c>
    </row>
    <row r="43" spans="1:8" x14ac:dyDescent="0.25">
      <c r="A43" s="1">
        <v>0.63541666666666663</v>
      </c>
      <c r="B43">
        <f t="shared" si="1"/>
        <v>4579</v>
      </c>
      <c r="C43">
        <v>5100</v>
      </c>
      <c r="D43">
        <v>9679</v>
      </c>
    </row>
    <row r="44" spans="1:8" x14ac:dyDescent="0.25">
      <c r="A44" s="1">
        <v>0.63888888888888895</v>
      </c>
      <c r="B44">
        <f t="shared" si="1"/>
        <v>2790</v>
      </c>
      <c r="C44">
        <v>5100</v>
      </c>
      <c r="D44">
        <v>7890</v>
      </c>
    </row>
    <row r="45" spans="1:8" x14ac:dyDescent="0.25">
      <c r="A45" s="1">
        <v>0.64236111111111105</v>
      </c>
      <c r="B45">
        <f t="shared" si="1"/>
        <v>2776</v>
      </c>
      <c r="C45">
        <v>5100</v>
      </c>
      <c r="D45">
        <v>7876</v>
      </c>
    </row>
    <row r="46" spans="1:8" x14ac:dyDescent="0.25">
      <c r="A46" s="1">
        <v>0.64583333333333337</v>
      </c>
      <c r="B46">
        <f t="shared" si="1"/>
        <v>2742</v>
      </c>
      <c r="C46">
        <v>5100</v>
      </c>
      <c r="D46">
        <v>7842</v>
      </c>
    </row>
    <row r="47" spans="1:8" x14ac:dyDescent="0.25">
      <c r="A47" s="1">
        <v>0.64930555555555558</v>
      </c>
      <c r="B47">
        <f t="shared" si="1"/>
        <v>1682</v>
      </c>
      <c r="C47">
        <v>6100</v>
      </c>
      <c r="D47">
        <v>7782</v>
      </c>
    </row>
    <row r="48" spans="1:8" x14ac:dyDescent="0.25">
      <c r="A48" s="1">
        <v>0.65277777777777779</v>
      </c>
      <c r="B48">
        <f t="shared" si="1"/>
        <v>1556</v>
      </c>
      <c r="C48">
        <v>6100</v>
      </c>
      <c r="D48">
        <v>7656</v>
      </c>
    </row>
    <row r="49" spans="1:4" x14ac:dyDescent="0.25">
      <c r="A49" s="1">
        <v>0.65625</v>
      </c>
      <c r="B49">
        <f t="shared" si="1"/>
        <v>2700</v>
      </c>
      <c r="C49">
        <v>6100</v>
      </c>
      <c r="D49">
        <v>8800</v>
      </c>
    </row>
    <row r="50" spans="1:4" x14ac:dyDescent="0.25">
      <c r="A50" s="1">
        <v>0.65972222222222221</v>
      </c>
      <c r="B50">
        <f t="shared" si="1"/>
        <v>2651</v>
      </c>
      <c r="C50">
        <v>6100</v>
      </c>
      <c r="D50">
        <v>8751</v>
      </c>
    </row>
    <row r="51" spans="1:4" x14ac:dyDescent="0.25">
      <c r="A51" s="1">
        <v>0.66319444444444442</v>
      </c>
      <c r="B51">
        <f t="shared" si="1"/>
        <v>2600</v>
      </c>
      <c r="C51">
        <v>6100</v>
      </c>
      <c r="D51">
        <v>8700</v>
      </c>
    </row>
    <row r="52" spans="1:4" x14ac:dyDescent="0.25">
      <c r="A52" s="1">
        <v>0.66666666666666663</v>
      </c>
      <c r="B52">
        <f t="shared" si="1"/>
        <v>2553</v>
      </c>
      <c r="C52">
        <v>6100</v>
      </c>
      <c r="D52">
        <v>8653</v>
      </c>
    </row>
    <row r="53" spans="1:4" x14ac:dyDescent="0.25">
      <c r="A53" s="1">
        <v>0.67013888888888884</v>
      </c>
      <c r="B53">
        <f t="shared" si="1"/>
        <v>2470</v>
      </c>
      <c r="C53">
        <v>6100</v>
      </c>
      <c r="D53">
        <v>8570</v>
      </c>
    </row>
    <row r="54" spans="1:4" x14ac:dyDescent="0.25">
      <c r="A54" s="1">
        <v>0.67361111111111116</v>
      </c>
      <c r="B54">
        <f t="shared" si="1"/>
        <v>2445</v>
      </c>
      <c r="C54">
        <v>6100</v>
      </c>
      <c r="D54">
        <v>8545</v>
      </c>
    </row>
    <row r="55" spans="1:4" x14ac:dyDescent="0.25">
      <c r="A55" s="1">
        <v>0.67708333333333337</v>
      </c>
      <c r="B55">
        <f t="shared" si="1"/>
        <v>2424</v>
      </c>
      <c r="C55">
        <v>6100</v>
      </c>
      <c r="D55">
        <v>8524</v>
      </c>
    </row>
    <row r="56" spans="1:4" x14ac:dyDescent="0.25">
      <c r="A56" s="1">
        <v>0.68055555555555547</v>
      </c>
      <c r="B56">
        <f t="shared" si="1"/>
        <v>2346</v>
      </c>
      <c r="C56">
        <v>6100</v>
      </c>
      <c r="D56">
        <v>8446</v>
      </c>
    </row>
    <row r="57" spans="1:4" x14ac:dyDescent="0.25">
      <c r="A57" s="1">
        <v>0.68402777777777779</v>
      </c>
      <c r="B57">
        <f t="shared" si="1"/>
        <v>2298</v>
      </c>
      <c r="C57">
        <v>6100</v>
      </c>
      <c r="D57">
        <v>8398</v>
      </c>
    </row>
    <row r="58" spans="1:4" x14ac:dyDescent="0.25">
      <c r="A58" s="1">
        <v>0.6875</v>
      </c>
      <c r="B58">
        <f t="shared" si="1"/>
        <v>1019</v>
      </c>
      <c r="C58">
        <v>6100</v>
      </c>
      <c r="D58">
        <v>7119</v>
      </c>
    </row>
  </sheetData>
  <mergeCells count="2">
    <mergeCell ref="A32:D32"/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1EBB-C491-47D8-8C9C-27B115E356E7}">
  <dimension ref="A1:J97"/>
  <sheetViews>
    <sheetView workbookViewId="0">
      <selection sqref="A1:D1"/>
    </sheetView>
  </sheetViews>
  <sheetFormatPr baseColWidth="10" defaultRowHeight="15" x14ac:dyDescent="0.25"/>
  <cols>
    <col min="1" max="1" width="11.42578125" customWidth="1"/>
    <col min="6" max="6" width="11.5703125" bestFit="1" customWidth="1"/>
    <col min="7" max="7" width="12.5703125" bestFit="1" customWidth="1"/>
  </cols>
  <sheetData>
    <row r="1" spans="1:10" x14ac:dyDescent="0.25">
      <c r="A1" s="45" t="s">
        <v>6</v>
      </c>
      <c r="B1" s="45"/>
      <c r="C1" s="45"/>
      <c r="D1" s="45"/>
    </row>
    <row r="2" spans="1:10" x14ac:dyDescent="0.25">
      <c r="A2" s="4" t="s">
        <v>0</v>
      </c>
      <c r="B2" s="4" t="s">
        <v>5</v>
      </c>
      <c r="C2" s="4" t="s">
        <v>4</v>
      </c>
      <c r="D2" s="4" t="s">
        <v>3</v>
      </c>
      <c r="F2" s="5" t="s">
        <v>98</v>
      </c>
      <c r="G2" s="5" t="s">
        <v>99</v>
      </c>
      <c r="H2" s="5" t="s">
        <v>100</v>
      </c>
      <c r="I2" s="5"/>
      <c r="J2" s="5"/>
    </row>
    <row r="3" spans="1:10" x14ac:dyDescent="0.25">
      <c r="A3" s="3" t="s">
        <v>71</v>
      </c>
      <c r="B3">
        <f t="shared" ref="B3:B37" si="0">D3-C3</f>
        <v>71</v>
      </c>
      <c r="C3">
        <v>0</v>
      </c>
      <c r="D3">
        <v>71</v>
      </c>
      <c r="F3" s="6">
        <f>AVERAGE(B9:B37)</f>
        <v>3432.344827586207</v>
      </c>
      <c r="G3" s="6">
        <f>AVERAGE(D9:D37)</f>
        <v>13259.931034482759</v>
      </c>
      <c r="H3" s="7">
        <f>CC!K38+(CC!K37/2)+CC!K36+CC!K35+CC!K34+CC!K33</f>
        <v>387.61</v>
      </c>
    </row>
    <row r="4" spans="1:10" x14ac:dyDescent="0.25">
      <c r="A4" s="3" t="s">
        <v>72</v>
      </c>
      <c r="B4">
        <f t="shared" si="0"/>
        <v>99</v>
      </c>
      <c r="C4">
        <v>0</v>
      </c>
      <c r="D4">
        <v>99</v>
      </c>
    </row>
    <row r="5" spans="1:10" x14ac:dyDescent="0.25">
      <c r="A5" s="3" t="s">
        <v>73</v>
      </c>
      <c r="B5">
        <f t="shared" si="0"/>
        <v>523</v>
      </c>
      <c r="C5">
        <v>2500</v>
      </c>
      <c r="D5">
        <v>3023</v>
      </c>
    </row>
    <row r="6" spans="1:10" x14ac:dyDescent="0.25">
      <c r="A6" s="3" t="s">
        <v>74</v>
      </c>
      <c r="B6">
        <f t="shared" si="0"/>
        <v>578</v>
      </c>
      <c r="C6">
        <v>2500</v>
      </c>
      <c r="D6">
        <v>3078</v>
      </c>
    </row>
    <row r="7" spans="1:10" x14ac:dyDescent="0.25">
      <c r="A7" s="3" t="s">
        <v>75</v>
      </c>
      <c r="B7">
        <f t="shared" si="0"/>
        <v>628</v>
      </c>
      <c r="C7">
        <v>2500</v>
      </c>
      <c r="D7">
        <v>3128</v>
      </c>
    </row>
    <row r="8" spans="1:10" x14ac:dyDescent="0.25">
      <c r="A8" s="3" t="s">
        <v>76</v>
      </c>
      <c r="B8">
        <f t="shared" si="0"/>
        <v>891</v>
      </c>
      <c r="C8">
        <v>2500</v>
      </c>
      <c r="D8">
        <v>3391</v>
      </c>
    </row>
    <row r="9" spans="1:10" x14ac:dyDescent="0.25">
      <c r="A9" s="3" t="s">
        <v>77</v>
      </c>
      <c r="B9">
        <f t="shared" si="0"/>
        <v>1956</v>
      </c>
      <c r="C9">
        <v>7500</v>
      </c>
      <c r="D9">
        <v>9456</v>
      </c>
    </row>
    <row r="10" spans="1:10" x14ac:dyDescent="0.25">
      <c r="A10" s="3" t="s">
        <v>78</v>
      </c>
      <c r="B10">
        <f t="shared" si="0"/>
        <v>2262</v>
      </c>
      <c r="C10">
        <v>7500</v>
      </c>
      <c r="D10">
        <v>9762</v>
      </c>
    </row>
    <row r="11" spans="1:10" x14ac:dyDescent="0.25">
      <c r="A11" s="3" t="s">
        <v>79</v>
      </c>
      <c r="B11">
        <f t="shared" si="0"/>
        <v>2815</v>
      </c>
      <c r="C11">
        <v>10000</v>
      </c>
      <c r="D11">
        <v>12815</v>
      </c>
    </row>
    <row r="12" spans="1:10" x14ac:dyDescent="0.25">
      <c r="A12" s="3" t="s">
        <v>80</v>
      </c>
      <c r="B12">
        <f t="shared" si="0"/>
        <v>2949</v>
      </c>
      <c r="C12">
        <v>10000</v>
      </c>
      <c r="D12">
        <v>12949</v>
      </c>
    </row>
    <row r="13" spans="1:10" x14ac:dyDescent="0.25">
      <c r="A13" s="3" t="s">
        <v>81</v>
      </c>
      <c r="B13">
        <f t="shared" si="0"/>
        <v>2946</v>
      </c>
      <c r="C13">
        <v>10000</v>
      </c>
      <c r="D13">
        <v>12946</v>
      </c>
    </row>
    <row r="14" spans="1:10" x14ac:dyDescent="0.25">
      <c r="A14" s="3" t="s">
        <v>82</v>
      </c>
      <c r="B14">
        <f t="shared" si="0"/>
        <v>3174</v>
      </c>
      <c r="C14">
        <v>10000</v>
      </c>
      <c r="D14">
        <v>13174</v>
      </c>
    </row>
    <row r="15" spans="1:10" x14ac:dyDescent="0.25">
      <c r="A15" s="3" t="s">
        <v>83</v>
      </c>
      <c r="B15">
        <f t="shared" si="0"/>
        <v>3223</v>
      </c>
      <c r="C15">
        <v>10000</v>
      </c>
      <c r="D15">
        <v>13223</v>
      </c>
    </row>
    <row r="16" spans="1:10" x14ac:dyDescent="0.25">
      <c r="A16" s="3" t="s">
        <v>84</v>
      </c>
      <c r="B16">
        <f t="shared" si="0"/>
        <v>3217</v>
      </c>
      <c r="C16">
        <v>10000</v>
      </c>
      <c r="D16">
        <v>13217</v>
      </c>
    </row>
    <row r="17" spans="1:4" x14ac:dyDescent="0.25">
      <c r="A17" s="3" t="s">
        <v>85</v>
      </c>
      <c r="B17">
        <f t="shared" si="0"/>
        <v>3320</v>
      </c>
      <c r="C17">
        <v>10000</v>
      </c>
      <c r="D17">
        <v>13320</v>
      </c>
    </row>
    <row r="18" spans="1:4" x14ac:dyDescent="0.25">
      <c r="A18" s="3" t="s">
        <v>86</v>
      </c>
      <c r="B18">
        <f t="shared" si="0"/>
        <v>3349</v>
      </c>
      <c r="C18">
        <v>10000</v>
      </c>
      <c r="D18">
        <v>13349</v>
      </c>
    </row>
    <row r="19" spans="1:4" x14ac:dyDescent="0.25">
      <c r="A19" s="3" t="s">
        <v>87</v>
      </c>
      <c r="B19">
        <f t="shared" si="0"/>
        <v>3421</v>
      </c>
      <c r="C19">
        <v>10000</v>
      </c>
      <c r="D19">
        <v>13421</v>
      </c>
    </row>
    <row r="20" spans="1:4" x14ac:dyDescent="0.25">
      <c r="A20" s="3" t="s">
        <v>88</v>
      </c>
      <c r="B20">
        <f t="shared" si="0"/>
        <v>3448</v>
      </c>
      <c r="C20">
        <v>10000</v>
      </c>
      <c r="D20">
        <v>13448</v>
      </c>
    </row>
    <row r="21" spans="1:4" x14ac:dyDescent="0.25">
      <c r="A21" s="3" t="s">
        <v>89</v>
      </c>
      <c r="B21">
        <f t="shared" si="0"/>
        <v>3610</v>
      </c>
      <c r="C21">
        <v>10000</v>
      </c>
      <c r="D21">
        <v>13610</v>
      </c>
    </row>
    <row r="22" spans="1:4" x14ac:dyDescent="0.25">
      <c r="A22" s="3" t="s">
        <v>90</v>
      </c>
      <c r="B22">
        <f t="shared" si="0"/>
        <v>3825</v>
      </c>
      <c r="C22">
        <v>10000</v>
      </c>
      <c r="D22">
        <v>13825</v>
      </c>
    </row>
    <row r="23" spans="1:4" x14ac:dyDescent="0.25">
      <c r="A23" s="3" t="s">
        <v>91</v>
      </c>
      <c r="B23">
        <f t="shared" si="0"/>
        <v>3849</v>
      </c>
      <c r="C23">
        <v>10000</v>
      </c>
      <c r="D23">
        <v>13849</v>
      </c>
    </row>
    <row r="24" spans="1:4" x14ac:dyDescent="0.25">
      <c r="A24" s="3" t="s">
        <v>92</v>
      </c>
      <c r="B24">
        <f t="shared" si="0"/>
        <v>3667</v>
      </c>
      <c r="C24">
        <v>10000</v>
      </c>
      <c r="D24">
        <v>13667</v>
      </c>
    </row>
    <row r="25" spans="1:4" x14ac:dyDescent="0.25">
      <c r="A25" s="3" t="s">
        <v>93</v>
      </c>
      <c r="B25">
        <f t="shared" si="0"/>
        <v>3705</v>
      </c>
      <c r="C25">
        <v>10000</v>
      </c>
      <c r="D25">
        <v>13705</v>
      </c>
    </row>
    <row r="26" spans="1:4" x14ac:dyDescent="0.25">
      <c r="A26" s="3" t="s">
        <v>94</v>
      </c>
      <c r="B26">
        <f t="shared" si="0"/>
        <v>3700</v>
      </c>
      <c r="C26">
        <v>10000</v>
      </c>
      <c r="D26">
        <v>13700</v>
      </c>
    </row>
    <row r="27" spans="1:4" x14ac:dyDescent="0.25">
      <c r="A27" s="3" t="s">
        <v>95</v>
      </c>
      <c r="B27">
        <f t="shared" si="0"/>
        <v>3801</v>
      </c>
      <c r="C27">
        <v>10000</v>
      </c>
      <c r="D27">
        <v>13801</v>
      </c>
    </row>
    <row r="28" spans="1:4" x14ac:dyDescent="0.25">
      <c r="A28" s="3" t="s">
        <v>96</v>
      </c>
      <c r="B28">
        <f t="shared" si="0"/>
        <v>3771</v>
      </c>
      <c r="C28">
        <v>10000</v>
      </c>
      <c r="D28">
        <v>13771</v>
      </c>
    </row>
    <row r="29" spans="1:4" x14ac:dyDescent="0.25">
      <c r="A29" s="3" t="s">
        <v>97</v>
      </c>
      <c r="B29">
        <f t="shared" si="0"/>
        <v>3695</v>
      </c>
      <c r="C29">
        <v>10000</v>
      </c>
      <c r="D29">
        <v>13695</v>
      </c>
    </row>
    <row r="30" spans="1:4" x14ac:dyDescent="0.25">
      <c r="A30" s="3" t="s">
        <v>36</v>
      </c>
      <c r="B30">
        <f t="shared" si="0"/>
        <v>3755</v>
      </c>
      <c r="C30">
        <v>10000</v>
      </c>
      <c r="D30">
        <v>13755</v>
      </c>
    </row>
    <row r="31" spans="1:4" x14ac:dyDescent="0.25">
      <c r="A31" s="3" t="s">
        <v>37</v>
      </c>
      <c r="B31">
        <f t="shared" si="0"/>
        <v>3737</v>
      </c>
      <c r="C31">
        <v>10000</v>
      </c>
      <c r="D31">
        <v>13737</v>
      </c>
    </row>
    <row r="32" spans="1:4" x14ac:dyDescent="0.25">
      <c r="A32" s="3" t="s">
        <v>38</v>
      </c>
      <c r="B32">
        <f t="shared" si="0"/>
        <v>3737</v>
      </c>
      <c r="C32">
        <v>10000</v>
      </c>
      <c r="D32">
        <v>13737</v>
      </c>
    </row>
    <row r="33" spans="1:8" x14ac:dyDescent="0.25">
      <c r="A33" s="3" t="s">
        <v>39</v>
      </c>
      <c r="B33">
        <f t="shared" si="0"/>
        <v>3719</v>
      </c>
      <c r="C33">
        <v>10000</v>
      </c>
      <c r="D33">
        <v>13719</v>
      </c>
    </row>
    <row r="34" spans="1:8" x14ac:dyDescent="0.25">
      <c r="A34" s="3" t="s">
        <v>40</v>
      </c>
      <c r="B34">
        <f t="shared" si="0"/>
        <v>3693</v>
      </c>
      <c r="C34">
        <v>10000</v>
      </c>
      <c r="D34">
        <v>13693</v>
      </c>
    </row>
    <row r="35" spans="1:8" x14ac:dyDescent="0.25">
      <c r="A35" s="3" t="s">
        <v>41</v>
      </c>
      <c r="B35">
        <f t="shared" si="0"/>
        <v>3689</v>
      </c>
      <c r="C35">
        <v>10000</v>
      </c>
      <c r="D35">
        <v>13689</v>
      </c>
    </row>
    <row r="36" spans="1:8" x14ac:dyDescent="0.25">
      <c r="A36" s="3" t="s">
        <v>42</v>
      </c>
      <c r="B36">
        <f t="shared" si="0"/>
        <v>3686</v>
      </c>
      <c r="C36">
        <v>10000</v>
      </c>
      <c r="D36">
        <v>13686</v>
      </c>
    </row>
    <row r="37" spans="1:8" x14ac:dyDescent="0.25">
      <c r="A37" s="3" t="s">
        <v>43</v>
      </c>
      <c r="B37">
        <f t="shared" si="0"/>
        <v>3819</v>
      </c>
      <c r="C37">
        <v>10000</v>
      </c>
      <c r="D37">
        <v>13819</v>
      </c>
    </row>
    <row r="38" spans="1:8" x14ac:dyDescent="0.25">
      <c r="A38" s="3"/>
    </row>
    <row r="39" spans="1:8" x14ac:dyDescent="0.25">
      <c r="A39" s="45" t="s">
        <v>7</v>
      </c>
      <c r="B39" s="45"/>
      <c r="C39" s="45"/>
      <c r="D39" s="45"/>
    </row>
    <row r="40" spans="1:8" x14ac:dyDescent="0.25">
      <c r="A40" s="4" t="s">
        <v>0</v>
      </c>
      <c r="B40" s="4" t="s">
        <v>5</v>
      </c>
      <c r="C40" s="4" t="s">
        <v>4</v>
      </c>
      <c r="D40" s="4" t="s">
        <v>3</v>
      </c>
      <c r="F40" s="5" t="s">
        <v>98</v>
      </c>
      <c r="G40" s="5" t="s">
        <v>99</v>
      </c>
      <c r="H40" s="5" t="s">
        <v>100</v>
      </c>
    </row>
    <row r="41" spans="1:8" x14ac:dyDescent="0.25">
      <c r="A41" s="3" t="s">
        <v>44</v>
      </c>
      <c r="B41">
        <f t="shared" ref="B41:B67" si="1">D41-C41</f>
        <v>4299</v>
      </c>
      <c r="C41">
        <v>9600</v>
      </c>
      <c r="D41">
        <v>13899</v>
      </c>
      <c r="F41" s="6">
        <f>AVERAGE(B41:B67)</f>
        <v>4997.3703703703704</v>
      </c>
      <c r="G41" s="6">
        <f>AVERAGE(D41:D67)</f>
        <v>11578.851851851852</v>
      </c>
      <c r="H41" s="7">
        <f>(CC!K37/2)+CC!K32+CC!K31</f>
        <v>279.14</v>
      </c>
    </row>
    <row r="42" spans="1:8" x14ac:dyDescent="0.25">
      <c r="A42" s="3" t="s">
        <v>45</v>
      </c>
      <c r="B42">
        <f t="shared" si="1"/>
        <v>6134</v>
      </c>
      <c r="C42">
        <v>9600</v>
      </c>
      <c r="D42">
        <v>15734</v>
      </c>
    </row>
    <row r="43" spans="1:8" x14ac:dyDescent="0.25">
      <c r="A43" s="3" t="s">
        <v>46</v>
      </c>
      <c r="B43">
        <f t="shared" si="1"/>
        <v>6141</v>
      </c>
      <c r="C43">
        <v>9600</v>
      </c>
      <c r="D43">
        <v>15741</v>
      </c>
    </row>
    <row r="44" spans="1:8" x14ac:dyDescent="0.25">
      <c r="A44" s="3" t="s">
        <v>47</v>
      </c>
      <c r="B44">
        <f t="shared" si="1"/>
        <v>6122</v>
      </c>
      <c r="C44">
        <v>9600</v>
      </c>
      <c r="D44">
        <v>15722</v>
      </c>
    </row>
    <row r="45" spans="1:8" x14ac:dyDescent="0.25">
      <c r="A45" s="3" t="s">
        <v>48</v>
      </c>
      <c r="B45">
        <f t="shared" si="1"/>
        <v>5818</v>
      </c>
      <c r="C45">
        <v>7100</v>
      </c>
      <c r="D45">
        <v>12918</v>
      </c>
    </row>
    <row r="46" spans="1:8" x14ac:dyDescent="0.25">
      <c r="A46" s="3" t="s">
        <v>49</v>
      </c>
      <c r="B46">
        <f t="shared" si="1"/>
        <v>5571</v>
      </c>
      <c r="C46">
        <v>7100</v>
      </c>
      <c r="D46">
        <v>12671</v>
      </c>
    </row>
    <row r="47" spans="1:8" x14ac:dyDescent="0.25">
      <c r="A47" s="3" t="s">
        <v>50</v>
      </c>
      <c r="B47">
        <f t="shared" si="1"/>
        <v>5627</v>
      </c>
      <c r="C47">
        <v>7100</v>
      </c>
      <c r="D47">
        <v>12727</v>
      </c>
    </row>
    <row r="48" spans="1:8" x14ac:dyDescent="0.25">
      <c r="A48" s="3" t="s">
        <v>51</v>
      </c>
      <c r="B48">
        <f t="shared" si="1"/>
        <v>5604</v>
      </c>
      <c r="C48">
        <v>7100</v>
      </c>
      <c r="D48">
        <v>12704</v>
      </c>
    </row>
    <row r="49" spans="1:4" x14ac:dyDescent="0.25">
      <c r="A49" s="3" t="s">
        <v>52</v>
      </c>
      <c r="B49">
        <f t="shared" si="1"/>
        <v>5544</v>
      </c>
      <c r="C49">
        <v>7100</v>
      </c>
      <c r="D49">
        <v>12644</v>
      </c>
    </row>
    <row r="50" spans="1:4" x14ac:dyDescent="0.25">
      <c r="A50" s="3" t="s">
        <v>53</v>
      </c>
      <c r="B50">
        <f t="shared" si="1"/>
        <v>5516</v>
      </c>
      <c r="C50">
        <v>7100</v>
      </c>
      <c r="D50">
        <v>12616</v>
      </c>
    </row>
    <row r="51" spans="1:4" x14ac:dyDescent="0.25">
      <c r="A51" s="3" t="s">
        <v>54</v>
      </c>
      <c r="B51">
        <f t="shared" si="1"/>
        <v>2762</v>
      </c>
      <c r="C51">
        <v>7100</v>
      </c>
      <c r="D51">
        <v>9862</v>
      </c>
    </row>
    <row r="52" spans="1:4" x14ac:dyDescent="0.25">
      <c r="A52" s="3" t="s">
        <v>55</v>
      </c>
      <c r="B52">
        <f t="shared" si="1"/>
        <v>2714</v>
      </c>
      <c r="C52">
        <v>7100</v>
      </c>
      <c r="D52">
        <v>9814</v>
      </c>
    </row>
    <row r="53" spans="1:4" x14ac:dyDescent="0.25">
      <c r="A53" s="3" t="s">
        <v>56</v>
      </c>
      <c r="B53">
        <f t="shared" si="1"/>
        <v>2616</v>
      </c>
      <c r="C53">
        <v>7100</v>
      </c>
      <c r="D53">
        <v>9716</v>
      </c>
    </row>
    <row r="54" spans="1:4" x14ac:dyDescent="0.25">
      <c r="A54" s="3" t="s">
        <v>57</v>
      </c>
      <c r="B54">
        <f t="shared" si="1"/>
        <v>2610</v>
      </c>
      <c r="C54">
        <v>7100</v>
      </c>
      <c r="D54">
        <v>9710</v>
      </c>
    </row>
    <row r="55" spans="1:4" x14ac:dyDescent="0.25">
      <c r="A55" s="3" t="s">
        <v>58</v>
      </c>
      <c r="B55">
        <f t="shared" si="1"/>
        <v>2635</v>
      </c>
      <c r="C55">
        <v>7100</v>
      </c>
      <c r="D55">
        <v>9735</v>
      </c>
    </row>
    <row r="56" spans="1:4" x14ac:dyDescent="0.25">
      <c r="A56" s="3" t="s">
        <v>59</v>
      </c>
      <c r="B56">
        <f t="shared" si="1"/>
        <v>2601</v>
      </c>
      <c r="C56">
        <v>7100</v>
      </c>
      <c r="D56">
        <v>9701</v>
      </c>
    </row>
    <row r="57" spans="1:4" x14ac:dyDescent="0.25">
      <c r="A57" s="3" t="s">
        <v>60</v>
      </c>
      <c r="B57">
        <f t="shared" si="1"/>
        <v>2557</v>
      </c>
      <c r="C57">
        <v>7100</v>
      </c>
      <c r="D57">
        <v>9657</v>
      </c>
    </row>
    <row r="58" spans="1:4" x14ac:dyDescent="0.25">
      <c r="A58" s="3" t="s">
        <v>61</v>
      </c>
      <c r="B58">
        <f t="shared" si="1"/>
        <v>2579</v>
      </c>
      <c r="C58">
        <v>7100</v>
      </c>
      <c r="D58">
        <v>9679</v>
      </c>
    </row>
    <row r="59" spans="1:4" x14ac:dyDescent="0.25">
      <c r="A59" s="3" t="s">
        <v>62</v>
      </c>
      <c r="B59">
        <f t="shared" si="1"/>
        <v>2566</v>
      </c>
      <c r="C59">
        <v>7100</v>
      </c>
      <c r="D59">
        <v>9666</v>
      </c>
    </row>
    <row r="60" spans="1:4" x14ac:dyDescent="0.25">
      <c r="A60" s="3" t="s">
        <v>63</v>
      </c>
      <c r="B60">
        <f t="shared" si="1"/>
        <v>7610</v>
      </c>
      <c r="C60">
        <v>4100</v>
      </c>
      <c r="D60">
        <v>11710</v>
      </c>
    </row>
    <row r="61" spans="1:4" x14ac:dyDescent="0.25">
      <c r="A61" s="3" t="s">
        <v>64</v>
      </c>
      <c r="B61">
        <f t="shared" si="1"/>
        <v>7479</v>
      </c>
      <c r="C61">
        <v>4100</v>
      </c>
      <c r="D61">
        <v>11579</v>
      </c>
    </row>
    <row r="62" spans="1:4" x14ac:dyDescent="0.25">
      <c r="A62" s="3" t="s">
        <v>65</v>
      </c>
      <c r="B62">
        <f t="shared" si="1"/>
        <v>7533</v>
      </c>
      <c r="C62">
        <v>4100</v>
      </c>
      <c r="D62">
        <v>11633</v>
      </c>
    </row>
    <row r="63" spans="1:4" x14ac:dyDescent="0.25">
      <c r="A63" s="3" t="s">
        <v>66</v>
      </c>
      <c r="B63">
        <f t="shared" si="1"/>
        <v>7517</v>
      </c>
      <c r="C63">
        <v>4100</v>
      </c>
      <c r="D63">
        <v>11617</v>
      </c>
    </row>
    <row r="64" spans="1:4" x14ac:dyDescent="0.25">
      <c r="A64" s="3" t="s">
        <v>67</v>
      </c>
      <c r="B64">
        <f t="shared" si="1"/>
        <v>7476</v>
      </c>
      <c r="C64">
        <v>4100</v>
      </c>
      <c r="D64">
        <v>11576</v>
      </c>
    </row>
    <row r="65" spans="1:8" x14ac:dyDescent="0.25">
      <c r="A65" s="3" t="s">
        <v>68</v>
      </c>
      <c r="B65">
        <f t="shared" si="1"/>
        <v>7385</v>
      </c>
      <c r="C65">
        <v>4100</v>
      </c>
      <c r="D65">
        <v>11485</v>
      </c>
    </row>
    <row r="66" spans="1:8" x14ac:dyDescent="0.25">
      <c r="A66" s="3" t="s">
        <v>69</v>
      </c>
      <c r="B66">
        <f t="shared" si="1"/>
        <v>5183</v>
      </c>
      <c r="C66">
        <v>4100</v>
      </c>
      <c r="D66">
        <v>9283</v>
      </c>
    </row>
    <row r="67" spans="1:8" x14ac:dyDescent="0.25">
      <c r="A67" s="3" t="s">
        <v>70</v>
      </c>
      <c r="B67">
        <f t="shared" si="1"/>
        <v>4730</v>
      </c>
      <c r="C67">
        <v>4100</v>
      </c>
      <c r="D67">
        <v>8830</v>
      </c>
    </row>
    <row r="68" spans="1:8" x14ac:dyDescent="0.25">
      <c r="A68" s="3"/>
    </row>
    <row r="69" spans="1:8" x14ac:dyDescent="0.25">
      <c r="A69" s="45" t="s">
        <v>8</v>
      </c>
      <c r="B69" s="45"/>
      <c r="C69" s="45"/>
      <c r="D69" s="45"/>
    </row>
    <row r="70" spans="1:8" x14ac:dyDescent="0.25">
      <c r="A70" s="4" t="s">
        <v>0</v>
      </c>
      <c r="B70" s="4" t="s">
        <v>5</v>
      </c>
      <c r="C70" s="4" t="s">
        <v>4</v>
      </c>
      <c r="D70" s="4" t="s">
        <v>3</v>
      </c>
      <c r="F70" s="5" t="s">
        <v>98</v>
      </c>
      <c r="G70" s="5" t="s">
        <v>99</v>
      </c>
      <c r="H70" s="5" t="s">
        <v>100</v>
      </c>
    </row>
    <row r="71" spans="1:8" x14ac:dyDescent="0.25">
      <c r="A71" s="3" t="s">
        <v>9</v>
      </c>
      <c r="B71">
        <f t="shared" ref="B71:B97" si="2">D71-C71</f>
        <v>144</v>
      </c>
      <c r="C71">
        <v>2500</v>
      </c>
      <c r="D71">
        <v>2644</v>
      </c>
      <c r="F71" s="6">
        <f>AVERAGE(B71:B97)</f>
        <v>1944.5555555555557</v>
      </c>
      <c r="G71" s="6">
        <f>AVERAGE(D71:D97)</f>
        <v>7203.8148148148148</v>
      </c>
      <c r="H71" s="7">
        <f>CC!K30+CC!K29+CC!K28+CC!K27+CC!K26+CC!K25+CC!K24+CC!K23</f>
        <v>191.55</v>
      </c>
    </row>
    <row r="72" spans="1:8" x14ac:dyDescent="0.25">
      <c r="A72" s="3" t="s">
        <v>10</v>
      </c>
      <c r="B72">
        <f t="shared" si="2"/>
        <v>296</v>
      </c>
      <c r="C72">
        <v>2500</v>
      </c>
      <c r="D72">
        <v>2796</v>
      </c>
    </row>
    <row r="73" spans="1:8" x14ac:dyDescent="0.25">
      <c r="A73" s="3" t="s">
        <v>11</v>
      </c>
      <c r="B73">
        <f t="shared" si="2"/>
        <v>542</v>
      </c>
      <c r="C73">
        <v>2500</v>
      </c>
      <c r="D73">
        <v>3042</v>
      </c>
    </row>
    <row r="74" spans="1:8" x14ac:dyDescent="0.25">
      <c r="A74" s="3" t="s">
        <v>12</v>
      </c>
      <c r="B74">
        <f t="shared" si="2"/>
        <v>154</v>
      </c>
      <c r="C74">
        <v>3500</v>
      </c>
      <c r="D74">
        <v>3654</v>
      </c>
    </row>
    <row r="75" spans="1:8" x14ac:dyDescent="0.25">
      <c r="A75" s="3" t="s">
        <v>13</v>
      </c>
      <c r="B75">
        <f t="shared" si="2"/>
        <v>1843</v>
      </c>
      <c r="C75">
        <v>3500</v>
      </c>
      <c r="D75">
        <v>5343</v>
      </c>
    </row>
    <row r="76" spans="1:8" x14ac:dyDescent="0.25">
      <c r="A76" s="3" t="s">
        <v>14</v>
      </c>
      <c r="B76">
        <f t="shared" si="2"/>
        <v>987</v>
      </c>
      <c r="C76">
        <v>4500</v>
      </c>
      <c r="D76">
        <v>5487</v>
      </c>
    </row>
    <row r="77" spans="1:8" x14ac:dyDescent="0.25">
      <c r="A77" s="3" t="s">
        <v>15</v>
      </c>
      <c r="B77">
        <f t="shared" si="2"/>
        <v>1610</v>
      </c>
      <c r="C77">
        <v>5500</v>
      </c>
      <c r="D77">
        <v>7110</v>
      </c>
    </row>
    <row r="78" spans="1:8" x14ac:dyDescent="0.25">
      <c r="A78" s="3" t="s">
        <v>16</v>
      </c>
      <c r="B78">
        <f t="shared" si="2"/>
        <v>1716</v>
      </c>
      <c r="C78">
        <v>5500</v>
      </c>
      <c r="D78">
        <v>7216</v>
      </c>
    </row>
    <row r="79" spans="1:8" x14ac:dyDescent="0.25">
      <c r="A79" s="3" t="s">
        <v>17</v>
      </c>
      <c r="B79">
        <f t="shared" si="2"/>
        <v>3333</v>
      </c>
      <c r="C79">
        <v>5500</v>
      </c>
      <c r="D79">
        <v>8833</v>
      </c>
    </row>
    <row r="80" spans="1:8" x14ac:dyDescent="0.25">
      <c r="A80" s="3" t="s">
        <v>18</v>
      </c>
      <c r="B80">
        <f t="shared" si="2"/>
        <v>3371</v>
      </c>
      <c r="C80">
        <v>5500</v>
      </c>
      <c r="D80">
        <v>8871</v>
      </c>
    </row>
    <row r="81" spans="1:4" x14ac:dyDescent="0.25">
      <c r="A81" s="3" t="s">
        <v>19</v>
      </c>
      <c r="B81">
        <f t="shared" si="2"/>
        <v>3366</v>
      </c>
      <c r="C81">
        <v>5500</v>
      </c>
      <c r="D81">
        <v>8866</v>
      </c>
    </row>
    <row r="82" spans="1:4" x14ac:dyDescent="0.25">
      <c r="A82" s="3" t="s">
        <v>20</v>
      </c>
      <c r="B82">
        <f t="shared" si="2"/>
        <v>3396</v>
      </c>
      <c r="C82">
        <v>5500</v>
      </c>
      <c r="D82">
        <v>8896</v>
      </c>
    </row>
    <row r="83" spans="1:4" x14ac:dyDescent="0.25">
      <c r="A83" s="3" t="s">
        <v>21</v>
      </c>
      <c r="B83">
        <f t="shared" si="2"/>
        <v>3374</v>
      </c>
      <c r="C83">
        <v>5500</v>
      </c>
      <c r="D83">
        <v>8874</v>
      </c>
    </row>
    <row r="84" spans="1:4" x14ac:dyDescent="0.25">
      <c r="A84" s="3" t="s">
        <v>22</v>
      </c>
      <c r="B84">
        <f t="shared" si="2"/>
        <v>3317</v>
      </c>
      <c r="C84">
        <v>5500</v>
      </c>
      <c r="D84">
        <v>8817</v>
      </c>
    </row>
    <row r="85" spans="1:4" x14ac:dyDescent="0.25">
      <c r="A85" s="3" t="s">
        <v>23</v>
      </c>
      <c r="B85">
        <f t="shared" si="2"/>
        <v>3337</v>
      </c>
      <c r="C85">
        <v>5500</v>
      </c>
      <c r="D85">
        <v>8837</v>
      </c>
    </row>
    <row r="86" spans="1:4" x14ac:dyDescent="0.25">
      <c r="A86" s="3" t="s">
        <v>24</v>
      </c>
      <c r="B86">
        <f t="shared" si="2"/>
        <v>3345</v>
      </c>
      <c r="C86">
        <v>5500</v>
      </c>
      <c r="D86">
        <v>8845</v>
      </c>
    </row>
    <row r="87" spans="1:4" x14ac:dyDescent="0.25">
      <c r="A87" s="3" t="s">
        <v>25</v>
      </c>
      <c r="B87">
        <f t="shared" si="2"/>
        <v>3318</v>
      </c>
      <c r="C87">
        <v>5500</v>
      </c>
      <c r="D87">
        <v>8818</v>
      </c>
    </row>
    <row r="88" spans="1:4" x14ac:dyDescent="0.25">
      <c r="A88" s="3" t="s">
        <v>26</v>
      </c>
      <c r="B88">
        <f t="shared" si="2"/>
        <v>3328</v>
      </c>
      <c r="C88">
        <v>5500</v>
      </c>
      <c r="D88">
        <v>8828</v>
      </c>
    </row>
    <row r="89" spans="1:4" x14ac:dyDescent="0.25">
      <c r="A89" s="3" t="s">
        <v>27</v>
      </c>
      <c r="B89">
        <f t="shared" si="2"/>
        <v>3296</v>
      </c>
      <c r="C89">
        <v>5500</v>
      </c>
      <c r="D89">
        <v>8796</v>
      </c>
    </row>
    <row r="90" spans="1:4" x14ac:dyDescent="0.25">
      <c r="A90" s="3" t="s">
        <v>28</v>
      </c>
      <c r="B90">
        <f t="shared" si="2"/>
        <v>1783</v>
      </c>
      <c r="C90">
        <v>7000</v>
      </c>
      <c r="D90">
        <v>8783</v>
      </c>
    </row>
    <row r="91" spans="1:4" x14ac:dyDescent="0.25">
      <c r="A91" s="3" t="s">
        <v>29</v>
      </c>
      <c r="B91">
        <f t="shared" si="2"/>
        <v>1740</v>
      </c>
      <c r="C91">
        <v>7000</v>
      </c>
      <c r="D91">
        <v>8740</v>
      </c>
    </row>
    <row r="92" spans="1:4" x14ac:dyDescent="0.25">
      <c r="A92" s="3" t="s">
        <v>30</v>
      </c>
      <c r="B92">
        <f t="shared" si="2"/>
        <v>241</v>
      </c>
      <c r="C92">
        <v>7000</v>
      </c>
      <c r="D92">
        <v>7241</v>
      </c>
    </row>
    <row r="93" spans="1:4" x14ac:dyDescent="0.25">
      <c r="A93" s="3" t="s">
        <v>31</v>
      </c>
      <c r="B93">
        <f t="shared" si="2"/>
        <v>1451</v>
      </c>
      <c r="C93">
        <v>7000</v>
      </c>
      <c r="D93">
        <v>8451</v>
      </c>
    </row>
    <row r="94" spans="1:4" x14ac:dyDescent="0.25">
      <c r="A94" s="3" t="s">
        <v>32</v>
      </c>
      <c r="B94">
        <f t="shared" si="2"/>
        <v>1515</v>
      </c>
      <c r="C94">
        <v>7000</v>
      </c>
      <c r="D94">
        <v>8515</v>
      </c>
    </row>
    <row r="95" spans="1:4" x14ac:dyDescent="0.25">
      <c r="A95" s="3" t="s">
        <v>33</v>
      </c>
      <c r="B95">
        <f t="shared" si="2"/>
        <v>889</v>
      </c>
      <c r="C95">
        <v>5500</v>
      </c>
      <c r="D95">
        <v>6389</v>
      </c>
    </row>
    <row r="96" spans="1:4" x14ac:dyDescent="0.25">
      <c r="A96" s="3" t="s">
        <v>34</v>
      </c>
      <c r="B96">
        <f t="shared" si="2"/>
        <v>378</v>
      </c>
      <c r="C96">
        <v>5500</v>
      </c>
      <c r="D96">
        <v>5878</v>
      </c>
    </row>
    <row r="97" spans="1:4" x14ac:dyDescent="0.25">
      <c r="A97" s="3" t="s">
        <v>35</v>
      </c>
      <c r="B97">
        <f t="shared" si="2"/>
        <v>433</v>
      </c>
      <c r="C97">
        <v>5500</v>
      </c>
      <c r="D97">
        <v>5933</v>
      </c>
    </row>
  </sheetData>
  <mergeCells count="3">
    <mergeCell ref="A69:D69"/>
    <mergeCell ref="A39:D39"/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D16A-ADAF-4FE9-8646-A43C5E01D1AD}">
  <sheetPr codeName="Hoja1"/>
  <dimension ref="A2:L47"/>
  <sheetViews>
    <sheetView workbookViewId="0">
      <selection activeCell="N10" sqref="N10"/>
    </sheetView>
  </sheetViews>
  <sheetFormatPr baseColWidth="10" defaultRowHeight="15" x14ac:dyDescent="0.25"/>
  <cols>
    <col min="1" max="1" width="10.140625" style="17" bestFit="1" customWidth="1"/>
    <col min="2" max="2" width="9" style="17" bestFit="1" customWidth="1"/>
    <col min="3" max="4" width="8.42578125" style="17" bestFit="1" customWidth="1"/>
    <col min="5" max="5" width="10.140625" style="17" bestFit="1" customWidth="1"/>
    <col min="6" max="7" width="8.42578125" style="17" bestFit="1" customWidth="1"/>
    <col min="8" max="8" width="19.7109375" style="17" bestFit="1" customWidth="1"/>
    <col min="9" max="9" width="18.7109375" style="17" bestFit="1" customWidth="1"/>
    <col min="10" max="10" width="18.7109375" style="17" customWidth="1"/>
    <col min="11" max="11" width="10.42578125" style="17" bestFit="1" customWidth="1"/>
    <col min="12" max="12" width="10.7109375" style="17" bestFit="1" customWidth="1"/>
    <col min="13" max="16384" width="11.42578125" style="17"/>
  </cols>
  <sheetData>
    <row r="2" spans="1:12" ht="15.75" thickBot="1" x14ac:dyDescent="0.3">
      <c r="A2" s="14">
        <v>45532</v>
      </c>
      <c r="B2" s="15">
        <v>0.91636574074074073</v>
      </c>
      <c r="C2" s="16" t="s">
        <v>101</v>
      </c>
      <c r="H2" s="18" t="s">
        <v>119</v>
      </c>
      <c r="I2" s="18" t="s">
        <v>120</v>
      </c>
      <c r="J2" s="18"/>
      <c r="K2" s="18" t="s">
        <v>121</v>
      </c>
      <c r="L2" s="18" t="s">
        <v>122</v>
      </c>
    </row>
    <row r="3" spans="1:12" ht="15.75" thickBot="1" x14ac:dyDescent="0.3">
      <c r="A3" s="19">
        <v>45533</v>
      </c>
      <c r="B3" s="20">
        <v>0.72994212962962968</v>
      </c>
      <c r="C3" s="21" t="s">
        <v>117</v>
      </c>
      <c r="D3" s="21" t="s">
        <v>118</v>
      </c>
      <c r="F3" s="22"/>
      <c r="G3" s="22"/>
      <c r="H3" s="23" t="s">
        <v>123</v>
      </c>
      <c r="I3" s="24">
        <v>45539</v>
      </c>
      <c r="J3" s="25">
        <v>0.77096064814814813</v>
      </c>
      <c r="K3" s="26">
        <v>3.13</v>
      </c>
      <c r="L3" s="37">
        <v>0.11</v>
      </c>
    </row>
    <row r="4" spans="1:12" ht="15.75" thickBot="1" x14ac:dyDescent="0.3">
      <c r="A4" s="27">
        <v>45534</v>
      </c>
      <c r="B4" s="28">
        <v>0.72680555555555559</v>
      </c>
      <c r="C4" s="29" t="s">
        <v>115</v>
      </c>
      <c r="D4" s="29" t="s">
        <v>116</v>
      </c>
      <c r="H4" s="30" t="s">
        <v>124</v>
      </c>
      <c r="I4" s="31">
        <v>45539</v>
      </c>
      <c r="J4" s="32">
        <v>0.77037037037037037</v>
      </c>
      <c r="K4" s="33">
        <v>389.5</v>
      </c>
      <c r="L4" s="38">
        <v>3.24</v>
      </c>
    </row>
    <row r="5" spans="1:12" ht="15.75" thickBot="1" x14ac:dyDescent="0.3">
      <c r="A5" s="19">
        <v>45534</v>
      </c>
      <c r="B5" s="20">
        <v>0.80773148148148144</v>
      </c>
      <c r="C5" s="21" t="s">
        <v>106</v>
      </c>
      <c r="D5" s="21" t="s">
        <v>114</v>
      </c>
      <c r="F5" s="34"/>
      <c r="G5" s="34"/>
      <c r="H5" s="35" t="s">
        <v>125</v>
      </c>
      <c r="I5" s="24">
        <v>45539</v>
      </c>
      <c r="J5" s="25">
        <v>0.75967592592592592</v>
      </c>
      <c r="K5" s="36">
        <v>3.32</v>
      </c>
      <c r="L5" s="39">
        <v>392.74</v>
      </c>
    </row>
    <row r="6" spans="1:12" ht="15.75" thickBot="1" x14ac:dyDescent="0.3">
      <c r="A6" s="27">
        <v>45537</v>
      </c>
      <c r="B6" s="28">
        <v>0.69532407407407404</v>
      </c>
      <c r="C6" s="29" t="s">
        <v>112</v>
      </c>
      <c r="D6" s="29" t="s">
        <v>113</v>
      </c>
      <c r="H6" s="30" t="s">
        <v>126</v>
      </c>
      <c r="I6" s="31">
        <v>45539</v>
      </c>
      <c r="J6" s="32">
        <v>0.75877314814814811</v>
      </c>
      <c r="K6" s="33">
        <v>138</v>
      </c>
      <c r="L6" s="38">
        <v>396.06</v>
      </c>
    </row>
    <row r="7" spans="1:12" ht="15.75" thickBot="1" x14ac:dyDescent="0.3">
      <c r="A7" s="19">
        <v>45537</v>
      </c>
      <c r="B7" s="20">
        <v>0.86723379629629627</v>
      </c>
      <c r="C7" s="21" t="s">
        <v>110</v>
      </c>
      <c r="D7" s="21" t="s">
        <v>111</v>
      </c>
      <c r="F7" s="22"/>
      <c r="G7" s="22"/>
      <c r="H7" s="35" t="s">
        <v>127</v>
      </c>
      <c r="I7" s="24">
        <v>45539</v>
      </c>
      <c r="J7" s="25">
        <v>0.75062499999999999</v>
      </c>
      <c r="K7" s="36">
        <v>0.55000000000000004</v>
      </c>
      <c r="L7" s="39">
        <v>534.05999999999995</v>
      </c>
    </row>
    <row r="8" spans="1:12" ht="15.75" thickBot="1" x14ac:dyDescent="0.3">
      <c r="A8" s="27">
        <v>45538</v>
      </c>
      <c r="B8" s="28">
        <v>0.14626157407407409</v>
      </c>
      <c r="C8" s="29" t="s">
        <v>106</v>
      </c>
      <c r="D8" s="29" t="s">
        <v>109</v>
      </c>
      <c r="H8" s="30" t="s">
        <v>128</v>
      </c>
      <c r="I8" s="31">
        <v>45539</v>
      </c>
      <c r="J8" s="32">
        <v>0.75002314814814819</v>
      </c>
      <c r="K8" s="33">
        <v>86.25</v>
      </c>
      <c r="L8" s="38">
        <v>534.61</v>
      </c>
    </row>
    <row r="9" spans="1:12" ht="15.75" thickBot="1" x14ac:dyDescent="0.3">
      <c r="A9" s="19">
        <v>45538</v>
      </c>
      <c r="B9" s="20">
        <v>0.72093750000000001</v>
      </c>
      <c r="C9" s="21" t="s">
        <v>104</v>
      </c>
      <c r="D9" s="21" t="s">
        <v>108</v>
      </c>
      <c r="F9" s="34"/>
      <c r="G9" s="34"/>
      <c r="H9" s="35" t="s">
        <v>129</v>
      </c>
      <c r="I9" s="24">
        <v>45539</v>
      </c>
      <c r="J9" s="25">
        <v>0.7446990740740741</v>
      </c>
      <c r="K9" s="36">
        <v>51.75</v>
      </c>
      <c r="L9" s="39">
        <v>620.86</v>
      </c>
    </row>
    <row r="10" spans="1:12" ht="15.75" thickBot="1" x14ac:dyDescent="0.3">
      <c r="A10" s="27">
        <v>45538</v>
      </c>
      <c r="B10" s="28">
        <v>0.87140046296296292</v>
      </c>
      <c r="C10" s="29" t="s">
        <v>106</v>
      </c>
      <c r="D10" s="29" t="s">
        <v>107</v>
      </c>
      <c r="H10" s="30" t="s">
        <v>130</v>
      </c>
      <c r="I10" s="31">
        <v>45539</v>
      </c>
      <c r="J10" s="32">
        <v>0.74091435185185184</v>
      </c>
      <c r="K10" s="33">
        <v>17.25</v>
      </c>
      <c r="L10" s="38">
        <v>672.61</v>
      </c>
    </row>
    <row r="11" spans="1:12" ht="15.75" thickBot="1" x14ac:dyDescent="0.3">
      <c r="A11" s="19">
        <v>45539</v>
      </c>
      <c r="B11" s="20">
        <v>0.703587962962963</v>
      </c>
      <c r="C11" s="21" t="s">
        <v>104</v>
      </c>
      <c r="D11" s="21" t="s">
        <v>105</v>
      </c>
      <c r="F11" s="22"/>
      <c r="G11" s="22"/>
      <c r="H11" s="35" t="s">
        <v>131</v>
      </c>
      <c r="I11" s="24">
        <v>45538</v>
      </c>
      <c r="J11" s="25">
        <v>0.90377314814814813</v>
      </c>
      <c r="K11" s="36">
        <v>12.9</v>
      </c>
      <c r="L11" s="39">
        <v>39.86</v>
      </c>
    </row>
    <row r="12" spans="1:12" ht="15.75" thickBot="1" x14ac:dyDescent="0.3">
      <c r="A12" s="27">
        <v>45540</v>
      </c>
      <c r="B12" s="28">
        <v>0.70158564814814817</v>
      </c>
      <c r="C12" s="16" t="s">
        <v>102</v>
      </c>
      <c r="D12" s="16" t="s">
        <v>103</v>
      </c>
      <c r="H12" s="30" t="s">
        <v>132</v>
      </c>
      <c r="I12" s="31">
        <v>45538</v>
      </c>
      <c r="J12" s="32">
        <v>0.85122685185185187</v>
      </c>
      <c r="K12" s="33">
        <v>30.69</v>
      </c>
      <c r="L12" s="38">
        <v>2.76</v>
      </c>
    </row>
    <row r="13" spans="1:12" ht="15.75" thickBot="1" x14ac:dyDescent="0.3">
      <c r="F13" s="34"/>
      <c r="G13" s="34"/>
      <c r="H13" s="35" t="s">
        <v>133</v>
      </c>
      <c r="I13" s="24">
        <v>45538</v>
      </c>
      <c r="J13" s="25">
        <v>0.78942129629629632</v>
      </c>
      <c r="K13" s="36">
        <v>9.6</v>
      </c>
      <c r="L13" s="39">
        <v>33.450000000000003</v>
      </c>
    </row>
    <row r="14" spans="1:12" ht="15.75" thickBot="1" x14ac:dyDescent="0.3">
      <c r="H14" s="30" t="s">
        <v>134</v>
      </c>
      <c r="I14" s="31">
        <v>45538</v>
      </c>
      <c r="J14" s="32">
        <v>0.77841435185185182</v>
      </c>
      <c r="K14" s="33">
        <v>4.2300000000000004</v>
      </c>
      <c r="L14" s="38">
        <v>43.05</v>
      </c>
    </row>
    <row r="15" spans="1:12" ht="15.75" thickBot="1" x14ac:dyDescent="0.3">
      <c r="F15" s="22"/>
      <c r="G15" s="22"/>
      <c r="H15" s="35" t="s">
        <v>135</v>
      </c>
      <c r="I15" s="24">
        <v>45538</v>
      </c>
      <c r="J15" s="25">
        <v>0.77077546296296295</v>
      </c>
      <c r="K15" s="36">
        <v>311.60000000000002</v>
      </c>
      <c r="L15" s="39">
        <v>47.28</v>
      </c>
    </row>
    <row r="16" spans="1:12" ht="15.75" thickBot="1" x14ac:dyDescent="0.3">
      <c r="H16" s="30" t="s">
        <v>136</v>
      </c>
      <c r="I16" s="31">
        <v>45538</v>
      </c>
      <c r="J16" s="32">
        <v>0.76579861111111114</v>
      </c>
      <c r="K16" s="33">
        <v>5.44</v>
      </c>
      <c r="L16" s="38">
        <v>358.88</v>
      </c>
    </row>
    <row r="17" spans="5:12" ht="15.75" thickBot="1" x14ac:dyDescent="0.3">
      <c r="F17" s="34"/>
      <c r="G17" s="34"/>
      <c r="H17" s="35" t="s">
        <v>137</v>
      </c>
      <c r="I17" s="24">
        <v>45538</v>
      </c>
      <c r="J17" s="25">
        <v>0.76373842592592589</v>
      </c>
      <c r="K17" s="36">
        <v>139.5</v>
      </c>
      <c r="L17" s="39">
        <v>364.32</v>
      </c>
    </row>
    <row r="18" spans="5:12" ht="15.75" thickBot="1" x14ac:dyDescent="0.3">
      <c r="H18" s="30" t="s">
        <v>138</v>
      </c>
      <c r="I18" s="31">
        <v>45538</v>
      </c>
      <c r="J18" s="32">
        <v>0.75896990740740744</v>
      </c>
      <c r="K18" s="33">
        <v>51.75</v>
      </c>
      <c r="L18" s="38">
        <v>503.82</v>
      </c>
    </row>
    <row r="19" spans="5:12" ht="15.75" thickBot="1" x14ac:dyDescent="0.3">
      <c r="F19" s="22"/>
      <c r="G19" s="22"/>
      <c r="H19" s="35" t="s">
        <v>139</v>
      </c>
      <c r="I19" s="24">
        <v>45538</v>
      </c>
      <c r="J19" s="25">
        <v>0.74753472222222217</v>
      </c>
      <c r="K19" s="36">
        <v>86.25</v>
      </c>
      <c r="L19" s="39">
        <v>555.57000000000005</v>
      </c>
    </row>
    <row r="20" spans="5:12" ht="15.75" thickBot="1" x14ac:dyDescent="0.3">
      <c r="E20" s="19"/>
      <c r="H20" s="30" t="s">
        <v>140</v>
      </c>
      <c r="I20" s="31">
        <v>45538</v>
      </c>
      <c r="J20" s="32">
        <v>0.74035879629629631</v>
      </c>
      <c r="K20" s="33">
        <v>2.06</v>
      </c>
      <c r="L20" s="38">
        <v>641.82000000000005</v>
      </c>
    </row>
    <row r="21" spans="5:12" ht="15.75" thickBot="1" x14ac:dyDescent="0.3">
      <c r="F21" s="34"/>
      <c r="G21" s="34"/>
      <c r="H21" s="35" t="s">
        <v>141</v>
      </c>
      <c r="I21" s="24">
        <v>45538</v>
      </c>
      <c r="J21" s="25">
        <v>0.73951388888888892</v>
      </c>
      <c r="K21" s="36">
        <v>34.5</v>
      </c>
      <c r="L21" s="39">
        <v>643.89</v>
      </c>
    </row>
    <row r="22" spans="5:12" ht="15.75" thickBot="1" x14ac:dyDescent="0.3">
      <c r="H22" s="30" t="s">
        <v>142</v>
      </c>
      <c r="I22" s="31">
        <v>45538</v>
      </c>
      <c r="J22" s="32">
        <v>0.73427083333333332</v>
      </c>
      <c r="K22" s="33">
        <v>6.45</v>
      </c>
      <c r="L22" s="38">
        <v>678.39</v>
      </c>
    </row>
    <row r="23" spans="5:12" ht="15.75" thickBot="1" x14ac:dyDescent="0.3">
      <c r="H23" s="35" t="s">
        <v>143</v>
      </c>
      <c r="I23" s="24">
        <v>45538</v>
      </c>
      <c r="J23" s="25">
        <v>0.14706018518518518</v>
      </c>
      <c r="K23" s="36">
        <v>19.350000000000001</v>
      </c>
      <c r="L23" s="39">
        <v>34.840000000000003</v>
      </c>
    </row>
    <row r="24" spans="5:12" ht="15.75" thickBot="1" x14ac:dyDescent="0.3">
      <c r="H24" s="30" t="s">
        <v>144</v>
      </c>
      <c r="I24" s="31">
        <v>45538</v>
      </c>
      <c r="J24" s="32">
        <v>0.14167824074074073</v>
      </c>
      <c r="K24" s="33">
        <v>13.95</v>
      </c>
      <c r="L24" s="38">
        <v>4.1900000000000004</v>
      </c>
    </row>
    <row r="25" spans="5:12" ht="15.75" thickBot="1" x14ac:dyDescent="0.3">
      <c r="H25" s="35" t="s">
        <v>145</v>
      </c>
      <c r="I25" s="24">
        <v>45538</v>
      </c>
      <c r="J25" s="25">
        <v>0.13925925925925925</v>
      </c>
      <c r="K25" s="36">
        <v>27.9</v>
      </c>
      <c r="L25" s="39">
        <v>18.14</v>
      </c>
    </row>
    <row r="26" spans="5:12" ht="15.75" thickBot="1" x14ac:dyDescent="0.3">
      <c r="H26" s="30" t="s">
        <v>146</v>
      </c>
      <c r="I26" s="31">
        <v>45538</v>
      </c>
      <c r="J26" s="32">
        <v>0.13665509259259259</v>
      </c>
      <c r="K26" s="33">
        <v>4.8</v>
      </c>
      <c r="L26" s="38">
        <v>46.04</v>
      </c>
    </row>
    <row r="27" spans="5:12" ht="15.75" thickBot="1" x14ac:dyDescent="0.3">
      <c r="H27" s="35" t="s">
        <v>147</v>
      </c>
      <c r="I27" s="24">
        <v>45538</v>
      </c>
      <c r="J27" s="25">
        <v>0.13501157407407408</v>
      </c>
      <c r="K27" s="36">
        <v>27.9</v>
      </c>
      <c r="L27" s="39">
        <v>50.84</v>
      </c>
    </row>
    <row r="28" spans="5:12" ht="15.75" thickBot="1" x14ac:dyDescent="0.3">
      <c r="H28" s="30" t="s">
        <v>148</v>
      </c>
      <c r="I28" s="31">
        <v>45538</v>
      </c>
      <c r="J28" s="32">
        <v>0.13208333333333333</v>
      </c>
      <c r="K28" s="33">
        <v>13.95</v>
      </c>
      <c r="L28" s="38">
        <v>78.739999999999995</v>
      </c>
    </row>
    <row r="29" spans="5:12" ht="15.75" thickBot="1" x14ac:dyDescent="0.3">
      <c r="H29" s="35" t="s">
        <v>149</v>
      </c>
      <c r="I29" s="24">
        <v>45538</v>
      </c>
      <c r="J29" s="25">
        <v>0.12939814814814815</v>
      </c>
      <c r="K29" s="36">
        <v>13.95</v>
      </c>
      <c r="L29" s="39">
        <v>92.69</v>
      </c>
    </row>
    <row r="30" spans="5:12" ht="15.75" thickBot="1" x14ac:dyDescent="0.3">
      <c r="H30" s="30" t="s">
        <v>150</v>
      </c>
      <c r="I30" s="31">
        <v>45538</v>
      </c>
      <c r="J30" s="32">
        <v>0.11938657407407408</v>
      </c>
      <c r="K30" s="33">
        <v>69.75</v>
      </c>
      <c r="L30" s="38">
        <v>106.64</v>
      </c>
    </row>
    <row r="31" spans="5:12" ht="15.75" thickBot="1" x14ac:dyDescent="0.3">
      <c r="H31" s="35" t="s">
        <v>151</v>
      </c>
      <c r="I31" s="24">
        <v>45537</v>
      </c>
      <c r="J31" s="25">
        <v>0.91609953703703706</v>
      </c>
      <c r="K31" s="36">
        <v>25.8</v>
      </c>
      <c r="L31" s="39">
        <v>176.39</v>
      </c>
    </row>
    <row r="32" spans="5:12" ht="15.75" thickBot="1" x14ac:dyDescent="0.3">
      <c r="H32" s="30" t="s">
        <v>152</v>
      </c>
      <c r="I32" s="31">
        <v>45537</v>
      </c>
      <c r="J32" s="32">
        <v>0.85547453703703702</v>
      </c>
      <c r="K32" s="33">
        <v>58.59</v>
      </c>
      <c r="L32" s="38">
        <v>2.19</v>
      </c>
    </row>
    <row r="33" spans="8:12" ht="15.75" thickBot="1" x14ac:dyDescent="0.3">
      <c r="H33" s="35" t="s">
        <v>153</v>
      </c>
      <c r="I33" s="24">
        <v>45537</v>
      </c>
      <c r="J33" s="25">
        <v>0.78347222222222224</v>
      </c>
      <c r="K33" s="36">
        <v>4.8</v>
      </c>
      <c r="L33" s="39">
        <v>60.78</v>
      </c>
    </row>
    <row r="34" spans="8:12" ht="15.75" thickBot="1" x14ac:dyDescent="0.3">
      <c r="H34" s="30" t="s">
        <v>154</v>
      </c>
      <c r="I34" s="31">
        <v>45537</v>
      </c>
      <c r="J34" s="32">
        <v>0.77465277777777775</v>
      </c>
      <c r="K34" s="33">
        <v>5.76</v>
      </c>
      <c r="L34" s="38">
        <v>65.58</v>
      </c>
    </row>
    <row r="35" spans="8:12" ht="15.75" thickBot="1" x14ac:dyDescent="0.3">
      <c r="H35" s="35" t="s">
        <v>155</v>
      </c>
      <c r="I35" s="24">
        <v>45537</v>
      </c>
      <c r="J35" s="25">
        <v>0.76556712962962958</v>
      </c>
      <c r="K35" s="36">
        <v>9.8000000000000007</v>
      </c>
      <c r="L35" s="39">
        <v>71.34</v>
      </c>
    </row>
    <row r="36" spans="8:12" ht="15.75" thickBot="1" x14ac:dyDescent="0.3">
      <c r="H36" s="30" t="s">
        <v>156</v>
      </c>
      <c r="I36" s="31">
        <v>45537</v>
      </c>
      <c r="J36" s="32">
        <v>0.75814814814814813</v>
      </c>
      <c r="K36" s="33">
        <v>86.25</v>
      </c>
      <c r="L36" s="38">
        <v>81.14</v>
      </c>
    </row>
    <row r="37" spans="8:12" ht="15.75" thickBot="1" x14ac:dyDescent="0.3">
      <c r="H37" s="35" t="s">
        <v>157</v>
      </c>
      <c r="I37" s="24">
        <v>45537</v>
      </c>
      <c r="J37" s="25">
        <v>0.75017361111111114</v>
      </c>
      <c r="K37" s="36">
        <v>389.5</v>
      </c>
      <c r="L37" s="39">
        <v>167.39</v>
      </c>
    </row>
    <row r="38" spans="8:12" ht="15.75" thickBot="1" x14ac:dyDescent="0.3">
      <c r="H38" s="30" t="s">
        <v>158</v>
      </c>
      <c r="I38" s="31">
        <v>45537</v>
      </c>
      <c r="J38" s="32">
        <v>0.73726851851851849</v>
      </c>
      <c r="K38" s="33">
        <v>86.25</v>
      </c>
      <c r="L38" s="38">
        <v>556.89</v>
      </c>
    </row>
    <row r="39" spans="8:12" ht="15.75" thickBot="1" x14ac:dyDescent="0.3">
      <c r="H39" s="35" t="s">
        <v>159</v>
      </c>
      <c r="I39" s="24">
        <v>45534</v>
      </c>
      <c r="J39" s="25">
        <v>0.80862268518518521</v>
      </c>
      <c r="K39" s="36">
        <v>32.25</v>
      </c>
      <c r="L39" s="39">
        <v>18.14</v>
      </c>
    </row>
    <row r="40" spans="8:12" ht="15.75" thickBot="1" x14ac:dyDescent="0.3">
      <c r="H40" s="30" t="s">
        <v>160</v>
      </c>
      <c r="I40" s="31">
        <v>45534</v>
      </c>
      <c r="J40" s="32">
        <v>0.79541666666666666</v>
      </c>
      <c r="K40" s="33">
        <v>8.39</v>
      </c>
      <c r="L40" s="38">
        <v>0.39</v>
      </c>
    </row>
    <row r="41" spans="8:12" ht="15.75" thickBot="1" x14ac:dyDescent="0.3">
      <c r="H41" s="35" t="s">
        <v>161</v>
      </c>
      <c r="I41" s="24">
        <v>45534</v>
      </c>
      <c r="J41" s="25">
        <v>0.75010416666666668</v>
      </c>
      <c r="K41" s="36">
        <v>97.65</v>
      </c>
      <c r="L41" s="39">
        <v>8.7799999999999994</v>
      </c>
    </row>
    <row r="42" spans="8:12" ht="15.75" thickBot="1" x14ac:dyDescent="0.3">
      <c r="H42" s="30" t="s">
        <v>162</v>
      </c>
      <c r="I42" s="31">
        <v>45534</v>
      </c>
      <c r="J42" s="32">
        <v>0.73976851851851855</v>
      </c>
      <c r="K42" s="33">
        <v>83.7</v>
      </c>
      <c r="L42" s="38">
        <v>106.43</v>
      </c>
    </row>
    <row r="43" spans="8:12" ht="15.75" thickBot="1" x14ac:dyDescent="0.3">
      <c r="H43" s="35" t="s">
        <v>163</v>
      </c>
      <c r="I43" s="24">
        <v>45534</v>
      </c>
      <c r="J43" s="25">
        <v>0.73447916666666668</v>
      </c>
      <c r="K43" s="36">
        <v>86.25</v>
      </c>
      <c r="L43" s="39">
        <v>190.13</v>
      </c>
    </row>
    <row r="44" spans="8:12" ht="15.75" thickBot="1" x14ac:dyDescent="0.3">
      <c r="H44" s="30" t="s">
        <v>164</v>
      </c>
      <c r="I44" s="31">
        <v>45534</v>
      </c>
      <c r="J44" s="32">
        <v>0.73034722222222226</v>
      </c>
      <c r="K44" s="33">
        <v>6.45</v>
      </c>
      <c r="L44" s="38">
        <v>276.38</v>
      </c>
    </row>
    <row r="45" spans="8:12" ht="15.75" thickBot="1" x14ac:dyDescent="0.3">
      <c r="H45" s="35" t="s">
        <v>165</v>
      </c>
      <c r="I45" s="24">
        <v>45533</v>
      </c>
      <c r="J45" s="25">
        <v>0.73052083333333329</v>
      </c>
      <c r="K45" s="36">
        <v>172.5</v>
      </c>
      <c r="L45" s="39">
        <v>2.83</v>
      </c>
    </row>
    <row r="46" spans="8:12" ht="15.75" thickBot="1" x14ac:dyDescent="0.3">
      <c r="H46" s="30" t="s">
        <v>166</v>
      </c>
      <c r="I46" s="31">
        <v>45533</v>
      </c>
      <c r="J46" s="32">
        <v>0.68770833333333337</v>
      </c>
      <c r="K46" s="33">
        <v>3.23</v>
      </c>
      <c r="L46" s="38">
        <v>0.33</v>
      </c>
    </row>
    <row r="47" spans="8:12" ht="15.75" thickBot="1" x14ac:dyDescent="0.3">
      <c r="H47" s="35" t="s">
        <v>167</v>
      </c>
      <c r="I47" s="24">
        <v>45532</v>
      </c>
      <c r="J47" s="25">
        <v>0.9166319444444444</v>
      </c>
      <c r="K47" s="36">
        <v>6.45</v>
      </c>
      <c r="L47" s="39">
        <v>3.55</v>
      </c>
    </row>
  </sheetData>
  <autoFilter ref="H2:L47" xr:uid="{28D8D16A-ADAF-4FE9-8646-A43C5E01D1AD}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12</xdr:col>
                <xdr:colOff>0</xdr:colOff>
                <xdr:row>47</xdr:row>
                <xdr:rowOff>0</xdr:rowOff>
              </from>
              <to>
                <xdr:col>20</xdr:col>
                <xdr:colOff>333375</xdr:colOff>
                <xdr:row>48</xdr:row>
                <xdr:rowOff>38100</xdr:rowOff>
              </to>
            </anchor>
          </controlPr>
        </control>
      </mc:Choice>
      <mc:Fallback>
        <control shapeId="2049" r:id="rId4" name="Control 1"/>
      </mc:Fallback>
    </mc:AlternateContent>
    <mc:AlternateContent xmlns:mc="http://schemas.openxmlformats.org/markup-compatibility/2006">
      <mc:Choice Requires="x14">
        <control shapeId="2050" r:id="rId6" name="Control 2">
          <controlPr defaultSize="0" r:id="rId7">
            <anchor moveWithCells="1">
              <from>
                <xdr:col>12</xdr:col>
                <xdr:colOff>0</xdr:colOff>
                <xdr:row>47</xdr:row>
                <xdr:rowOff>0</xdr:rowOff>
              </from>
              <to>
                <xdr:col>13</xdr:col>
                <xdr:colOff>619125</xdr:colOff>
                <xdr:row>48</xdr:row>
                <xdr:rowOff>38100</xdr:rowOff>
              </to>
            </anchor>
          </controlPr>
        </control>
      </mc:Choice>
      <mc:Fallback>
        <control shapeId="2050" r:id="rId6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Home</vt:lpstr>
      <vt:lpstr>Hoja1</vt:lpstr>
      <vt:lpstr>04</vt:lpstr>
      <vt:lpstr>03</vt:lpstr>
      <vt:lpstr>02</vt:lpstr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Ontivero</dc:creator>
  <cp:lastModifiedBy>German Aguilera</cp:lastModifiedBy>
  <dcterms:created xsi:type="dcterms:W3CDTF">2024-09-04T17:31:29Z</dcterms:created>
  <dcterms:modified xsi:type="dcterms:W3CDTF">2024-09-11T14:31:41Z</dcterms:modified>
</cp:coreProperties>
</file>